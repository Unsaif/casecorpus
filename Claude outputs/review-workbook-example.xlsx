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acts" sheetId="2" state="visible" r:id="rId4"/>
    <sheet name="Record" sheetId="3" state="visible" r:id="rId5"/>
    <sheet name="Missed" sheetId="4" state="visible" r:id="rId6"/>
    <sheet name="Paper text" sheetId="5" state="visible" r:id="rId7"/>
  </sheets>
  <definedNames>
    <definedName function="false" hidden="true" localSheetId="1" name="_xlnm._FilterDatabase" vbProcedure="false">Facts!$A$1:$N$329</definedName>
    <definedName function="false" hidden="true" localSheetId="4" name="_xlnm._FilterDatabase" vbProcedure="false">'Paper text'!$A$1:$E$260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<sst xmlns="http://schemas.openxmlformats.org/spreadsheetml/2006/main" count="4638" uniqueCount="1744">
  <si>
    <t xml:space="preserve">casecorpus review workbook</t>
  </si>
  <si>
    <t xml:space="preserve">Reviewer</t>
  </si>
  <si>
    <t xml:space="preserve">reviewer1</t>
  </si>
  <si>
    <t xml:space="preserve">Batch</t>
  </si>
  <si>
    <t xml:space="preserve">1</t>
  </si>
  <si>
    <t xml:space="preserve">Records in this batch</t>
  </si>
  <si>
    <t xml:space="preserve">6</t>
  </si>
  <si>
    <t xml:space="preserve">Your name (fill in)</t>
  </si>
  <si>
    <t xml:space="preserve">Date (fill in)</t>
  </si>
  <si>
    <t xml:space="preserve">How to review</t>
  </si>
  <si>
    <t xml:space="preserve">Work record by record. Filter the Facts sheet on record_id. For each row read the extracted item, then check it against the quote and its place in the paper (Paper text sheet, same anchors; or the PDF). Fill Verdict; add a Correction when the value is wrong; Comment is free text. Yellow cells are yours; do not edit the others.</t>
  </si>
  <si>
    <t xml:space="preserve">Verdicts</t>
  </si>
  <si>
    <t xml:space="preserve">Correct</t>
  </si>
  <si>
    <t xml:space="preserve">The item is stated in the paper for THIS individual, value and qualifier as extracted.</t>
  </si>
  <si>
    <t xml:space="preserve">Partly correct</t>
  </si>
  <si>
    <t xml:space="preserve">Right item, but a detail is off (wrong unit, wrong onset, incomplete qualifier). Put the right detail in Correction.</t>
  </si>
  <si>
    <t xml:space="preserve">Wrong value</t>
  </si>
  <si>
    <t xml:space="preserve">Item exists but the value/qualifier is wrong (e.g. 320 vs 32.0 µmol/L; 'absent' vs present). Put the right value in Correction.</t>
  </si>
  <si>
    <t xml:space="preserve">Wrong grounding</t>
  </si>
  <si>
    <t xml:space="preserve">Text is right but the ontology id/label (HPO, MONDO, ChEBI, HGNC) is wrong. Put the right id or label in Correction.</t>
  </si>
  <si>
    <t xml:space="preserve">Wrong patient</t>
  </si>
  <si>
    <t xml:space="preserve">Stated in the paper, but about another individual (series/family papers).</t>
  </si>
  <si>
    <t xml:space="preserve">Not in paper</t>
  </si>
  <si>
    <t xml:space="preserve">Not stated anywhere in the paper (invented, or textbook knowledge imported).</t>
  </si>
  <si>
    <t xml:space="preserve">Unsure</t>
  </si>
  <si>
    <t xml:space="preserve">Cannot decide from the paper; explain in Comment.</t>
  </si>
  <si>
    <t xml:space="preserve">Missed sheet</t>
  </si>
  <si>
    <t xml:space="preserve">Facts the paper states about the individual that are NOT in the record: one row each — record_id, group, what the paper says, where (anchor or page). This is how we measure recall, so be complete for the groups that matter (phenotype, measurement, genetic_finding, diagnosis).</t>
  </si>
  <si>
    <t xml:space="preserve">Record sheet</t>
  </si>
  <si>
    <t xml:space="preserve">One row per record: is the FINAL diagnosis right, is its confidence tier right, does the verbatim narrative cover the whole description of this individual, does it include text about other individuals, overall quality 1-5.</t>
  </si>
  <si>
    <t xml:space="preserve">Paper text</t>
  </si>
  <si>
    <t xml:space="preserve">The document exactly as the extractor saw it, one row per anchored unit (paragraph / table row). The 'narrative of' column lists the records whose verbatim narrative includes that unit.</t>
  </si>
  <si>
    <t xml:space="preserve">Example (Facts row)</t>
  </si>
  <si>
    <t xml:space="preserve">phenotype | Hyperammonemia | onset P3D | HP:0001987 Hyperammonemia | quote 'plasma ammonia was 480 µmol/L on day 3' | sec:2 ¶2 | in anchor  -&gt;  Verdict: Correct</t>
  </si>
  <si>
    <t xml:space="preserve">Progress</t>
  </si>
  <si>
    <t xml:space="preserve">Facts in batch</t>
  </si>
  <si>
    <t xml:space="preserve">Facts with a verdict</t>
  </si>
  <si>
    <t xml:space="preserve">Records with a diagnosis verdict</t>
  </si>
  <si>
    <t xml:space="preserve">Missed facts entered</t>
  </si>
  <si>
    <t xml:space="preserve">Progress counters are formulas over the other sheets; everything else on this sheet is text.</t>
  </si>
  <si>
    <t xml:space="preserve">fact_id</t>
  </si>
  <si>
    <t xml:space="preserve">record_id</t>
  </si>
  <si>
    <t xml:space="preserve">pmid</t>
  </si>
  <si>
    <t xml:space="preserve">local_id</t>
  </si>
  <si>
    <t xml:space="preserve">group</t>
  </si>
  <si>
    <t xml:space="preserve">item</t>
  </si>
  <si>
    <t xml:space="preserve">detail</t>
  </si>
  <si>
    <t xml:space="preserve">grounded</t>
  </si>
  <si>
    <t xml:space="preserve">quote</t>
  </si>
  <si>
    <t xml:space="preserve">anchor</t>
  </si>
  <si>
    <t xml:space="preserve">quote verification</t>
  </si>
  <si>
    <t xml:space="preserve">Verdict</t>
  </si>
  <si>
    <t xml:space="preserve">Correction</t>
  </si>
  <si>
    <t xml:space="preserve">Comment</t>
  </si>
  <si>
    <t xml:space="preserve">PMID_42688021_Patient_2#subject:0</t>
  </si>
  <si>
    <t xml:space="preserve">PMID_42688021_Patient_2</t>
  </si>
  <si>
    <t xml:space="preserve">42688021</t>
  </si>
  <si>
    <t xml:space="preserve">Patient 2</t>
  </si>
  <si>
    <t xml:space="preserve">subject</t>
  </si>
  <si>
    <t xml:space="preserve">sex</t>
  </si>
  <si>
    <t xml:space="preserve">MALE</t>
  </si>
  <si>
    <t xml:space="preserve">PMID_42688021_Patient_2#subject:1</t>
  </si>
  <si>
    <t xml:space="preserve">vital_status</t>
  </si>
  <si>
    <t xml:space="preserve">ALIVE</t>
  </si>
  <si>
    <t xml:space="preserve">PMID_42688021_Patient_2#subject:2</t>
  </si>
  <si>
    <t xml:space="preserve">ancestry_as_stated</t>
  </si>
  <si>
    <t xml:space="preserve">Serbian</t>
  </si>
  <si>
    <t xml:space="preserve">PMID_42688021_Patient_2#subject:3</t>
  </si>
  <si>
    <t xml:space="preserve">country_of_care</t>
  </si>
  <si>
    <t xml:space="preserve">Serbia</t>
  </si>
  <si>
    <t xml:space="preserve">PMID_42688021_Patient_2#subject:4</t>
  </si>
  <si>
    <t xml:space="preserve">gestational_age_weeks</t>
  </si>
  <si>
    <t xml:space="preserve">40</t>
  </si>
  <si>
    <t xml:space="preserve">PMID_42688021_Patient_2#subject:5</t>
  </si>
  <si>
    <t xml:space="preserve">birth_weight_g</t>
  </si>
  <si>
    <t xml:space="preserve">3920</t>
  </si>
  <si>
    <t xml:space="preserve">PMID_42688021_Patient_2#subject:6</t>
  </si>
  <si>
    <t xml:space="preserve">age_at_onset</t>
  </si>
  <si>
    <t xml:space="preserve">P3M / three months (referred to a urologist for undescended testes, scrotal hypoplasia and hypospadias)</t>
  </si>
  <si>
    <t xml:space="preserve">He was referred to a urologist for examination at the age of three months due to undescended testes, scrotal hypoplasia, and hypospadias.</t>
  </si>
  <si>
    <t xml:space="preserve">sec:10 ¶1</t>
  </si>
  <si>
    <t xml:space="preserve">unverified</t>
  </si>
  <si>
    <t xml:space="preserve">PMID_42688021_Patient_2#subject:7</t>
  </si>
  <si>
    <t xml:space="preserve">age_at_presentation</t>
  </si>
  <si>
    <t xml:space="preserve">P1Y6M / 1.5 years (hospitalized with electrolyte imbalance)</t>
  </si>
  <si>
    <t xml:space="preserve">At the age of 1.5 years, he was hospitalized due to an electrolyte imbalance (hyponatremia 125 mmol/l, hyperkalemia 6.1 mmol/l, hypoglycemia 2.7 mmol/l) during a febrile respiratory illness (Table 2).</t>
  </si>
  <si>
    <t xml:space="preserve">PMID_42688021_Patient_2#subject:8</t>
  </si>
  <si>
    <t xml:space="preserve">age_at_last_followup</t>
  </si>
  <si>
    <t xml:space="preserve">P5Y6M / 5.5 years of age</t>
  </si>
  <si>
    <t xml:space="preserve">At 5.5 years of age, his height was 114 cm (50-75th percentile), and his weight was 17 kg (10th percentile). Physical examination showed that both testes were in the scrotum, with a volume of 2 mL each.</t>
  </si>
  <si>
    <t xml:space="preserve">sec:11 ¶2</t>
  </si>
  <si>
    <t xml:space="preserve">PMID_42688021_Patient_2#family:0</t>
  </si>
  <si>
    <t xml:space="preserve">family</t>
  </si>
  <si>
    <t xml:space="preserve">family history</t>
  </si>
  <si>
    <t xml:space="preserve">Their family history was normal, and both parents were healthy. Neither parent showed any symptoms of LCAH. The mother was heterozygous for the p.Trp250Ter mutation, and the father was heterozygous for the p.Arg188Cys mutation. Older sister (Patient 1) has genetically confirmed LCAH.</t>
  </si>
  <si>
    <t xml:space="preserve">PMID_42688021_Patient_2#phenotype:0</t>
  </si>
  <si>
    <t xml:space="preserve">phenotype</t>
  </si>
  <si>
    <t xml:space="preserve">Cryptorchidism</t>
  </si>
  <si>
    <t xml:space="preserve">onset P3M / three months; bilateral; both testes located in the inguinal canals on ultrasound</t>
  </si>
  <si>
    <t xml:space="preserve">HP:0000028 Cryptorchidism</t>
  </si>
  <si>
    <t xml:space="preserve">in anchor</t>
  </si>
  <si>
    <t xml:space="preserve">PMID_42688021_Patient_2#phenotype:1</t>
  </si>
  <si>
    <t xml:space="preserve">Scrotal hypoplasia</t>
  </si>
  <si>
    <t xml:space="preserve">onset P3M / three months</t>
  </si>
  <si>
    <t xml:space="preserve">HP:0000046 Small scrotum</t>
  </si>
  <si>
    <t xml:space="preserve">PMID_42688021_Patient_2#phenotype:2</t>
  </si>
  <si>
    <t xml:space="preserve">Hypospadias</t>
  </si>
  <si>
    <t xml:space="preserve">HP:0000047 Hypospadias</t>
  </si>
  <si>
    <t xml:space="preserve">PMID_42688021_Patient_2#phenotype:3</t>
  </si>
  <si>
    <t xml:space="preserve">Hyponatremia</t>
  </si>
  <si>
    <t xml:space="preserve">onset P1Y6M / 1.5 years; during a febrile respiratory illness</t>
  </si>
  <si>
    <t xml:space="preserve">HP:0002902 Hyponatremia</t>
  </si>
  <si>
    <t xml:space="preserve">PMID_42688021_Patient_2#phenotype:4</t>
  </si>
  <si>
    <t xml:space="preserve">Hyperkalemia</t>
  </si>
  <si>
    <t xml:space="preserve">HP:0002153 Hyperkalemia</t>
  </si>
  <si>
    <t xml:space="preserve">PMID_42688021_Patient_2#phenotype:5</t>
  </si>
  <si>
    <t xml:space="preserve">Hypoglycemia</t>
  </si>
  <si>
    <t xml:space="preserve">HP:0001943 Hypoglycemia</t>
  </si>
  <si>
    <t xml:space="preserve">PMID_42688021_Patient_2#phenotype:6</t>
  </si>
  <si>
    <t xml:space="preserve">Fever</t>
  </si>
  <si>
    <t xml:space="preserve">onset P1Y6M / 1.5 years; intercurrent febrile respiratory illness at presentation</t>
  </si>
  <si>
    <t xml:space="preserve">HP:0001945 Fever</t>
  </si>
  <si>
    <t xml:space="preserve">PMID_42688021_Patient_2#phenotype:7</t>
  </si>
  <si>
    <t xml:space="preserve">Decreased circulating cortisol level</t>
  </si>
  <si>
    <t xml:space="preserve">onset P1Y6M / 1.5 years</t>
  </si>
  <si>
    <t xml:space="preserve">HP:0008163 Decreased circulating cortisol level</t>
  </si>
  <si>
    <t xml:space="preserve">Laboratory analyses showed a low cortisol level of 5.2 µg/dl (normal 2.97-23.4 µg/dl)</t>
  </si>
  <si>
    <t xml:space="preserve">PMID_42688021_Patient_2#phenotype:8</t>
  </si>
  <si>
    <t xml:space="preserve">Increased plasma renin activity</t>
  </si>
  <si>
    <t xml:space="preserve">HP:0000841 Hyperactive renin-angiotensin system</t>
  </si>
  <si>
    <t xml:space="preserve">a high PRA of 19 ng/ml/h (normal range 0.3-3.9)</t>
  </si>
  <si>
    <t xml:space="preserve">PMID_42688021_Patient_2#phenotype:9</t>
  </si>
  <si>
    <t xml:space="preserve">Decreased circulating androstenedione level</t>
  </si>
  <si>
    <t xml:space="preserve">a low androstenedione of 0.11 ng/ml (normal range 0.15-3.1 ng/ml)</t>
  </si>
  <si>
    <t xml:space="preserve">PMID_42688021_Patient_2#phenotype:10</t>
  </si>
  <si>
    <t xml:space="preserve">Decreased circulating testosterone level</t>
  </si>
  <si>
    <t xml:space="preserve">a low testosterone level of 0.06 ng/ml (normal range 1.75-7.81 ng/ml)</t>
  </si>
  <si>
    <t xml:space="preserve">PMID_42688021_Patient_2#phenotype:11</t>
  </si>
  <si>
    <t xml:space="preserve">Primary adrenal insufficiency</t>
  </si>
  <si>
    <t xml:space="preserve">HP:0008207 Primary adrenal insufficiency</t>
  </si>
  <si>
    <t xml:space="preserve">PAI was diagnosed, so hydrocortisone and fludrocortisone therapy was started.</t>
  </si>
  <si>
    <t xml:space="preserve">PMID_42688021_Patient_2#phenotype:12</t>
  </si>
  <si>
    <t xml:space="preserve">ABSENT: Abnormal adrenal gland morphology on ultrasound</t>
  </si>
  <si>
    <t xml:space="preserve">Karyotype was normal male 46, XY, and adrenal ultrasound was described as normal.</t>
  </si>
  <si>
    <t xml:space="preserve">PMID_42688021_Patient_2#phenotype:13</t>
  </si>
  <si>
    <t xml:space="preserve">Migratory (retractile) testicle</t>
  </si>
  <si>
    <t xml:space="preserve">onset P4Y / four years; right; treated by orchiopexy</t>
  </si>
  <si>
    <t xml:space="preserve">The boy underwent right orchiopexy at the age of four years, because he had migratory testicle.</t>
  </si>
  <si>
    <t xml:space="preserve">PMID_42688021_Patient_2#phenotype:14</t>
  </si>
  <si>
    <t xml:space="preserve">ABSENT: Growth delay</t>
  </si>
  <si>
    <t xml:space="preserve">on treatment, during follow-up</t>
  </si>
  <si>
    <t xml:space="preserve">HP:0001510 Growth delay</t>
  </si>
  <si>
    <t xml:space="preserve">The patients attended regular endocrinology follow-up visits every 6 months. Their growth was appropriate for age.</t>
  </si>
  <si>
    <t xml:space="preserve">sec:11 ¶1</t>
  </si>
  <si>
    <t xml:space="preserve">PMID_42688021_Patient_2#phenotype:15</t>
  </si>
  <si>
    <t xml:space="preserve">ABSENT: Adrenal crisis</t>
  </si>
  <si>
    <t xml:space="preserve">During follow-up, patients did not develop adrenal crisis.</t>
  </si>
  <si>
    <t xml:space="preserve">sec:11 ¶3</t>
  </si>
  <si>
    <t xml:space="preserve">PMID_42688021_Patient_2#measurement:0</t>
  </si>
  <si>
    <t xml:space="preserve">measurement</t>
  </si>
  <si>
    <t xml:space="preserve">sodium (reported as hyponatremia; Natrium in Table 2)</t>
  </si>
  <si>
    <t xml:space="preserve">125; ref {'low': 135, 'high': 145, 'text': '135-145'}; LOW; specimen blood; timing at presentation; age P1Y6M / 1.5 years</t>
  </si>
  <si>
    <t xml:space="preserve">sodium</t>
  </si>
  <si>
    <t xml:space="preserve">PMID_42688021_Patient_2#measurement:1</t>
  </si>
  <si>
    <t xml:space="preserve">potassium (reported as hyperkalemia)</t>
  </si>
  <si>
    <t xml:space="preserve">6.1; ref {'low': 3.5, 'high': 5, 'text': '3.5-5'}; HIGH; specimen blood; timing at presentation; age P1Y6M / 1.5 years</t>
  </si>
  <si>
    <t xml:space="preserve">potassium</t>
  </si>
  <si>
    <t xml:space="preserve">PMID_42688021_Patient_2#measurement:2</t>
  </si>
  <si>
    <t xml:space="preserve">glycemia (reported as hypoglycemia)</t>
  </si>
  <si>
    <t xml:space="preserve">2.7; ref {'low': 3.6, 'high': 6.1, 'text': '3.6-6.1'}; LOW; specimen blood; timing at presentation; age P1Y6M / 1.5 years</t>
  </si>
  <si>
    <t xml:space="preserve">CHEBI:17634 glucose</t>
  </si>
  <si>
    <t xml:space="preserve">PMID_42688021_Patient_2#measurement:3</t>
  </si>
  <si>
    <t xml:space="preserve">cortisol</t>
  </si>
  <si>
    <t xml:space="preserve">5.2; ref {'low': 2.97, 'high': 23.4, 'text': '2.97-23.4'}; LOW; specimen blood; timing at presentation; age P1Y6M / 1.5 years</t>
  </si>
  <si>
    <t xml:space="preserve">PMID_42688021_Patient_2#measurement:4</t>
  </si>
  <si>
    <t xml:space="preserve">17-hydroxyprogesterone</t>
  </si>
  <si>
    <t xml:space="preserve">0.6; ref {'low': None, 'high': 2, 'text': '&lt;2'}; NORMAL; specimen blood; timing at presentation; age P1Y6M / 1.5 years</t>
  </si>
  <si>
    <t xml:space="preserve">a normal 17-hydroxyprogesterone level of 0.6 ng/ml (normal range &lt;2 ng/ml)</t>
  </si>
  <si>
    <t xml:space="preserve">PMID_42688021_Patient_2#measurement:5</t>
  </si>
  <si>
    <t xml:space="preserve">PRA</t>
  </si>
  <si>
    <t xml:space="preserve">19; ref {'low': 0.3, 'high': 3.9, 'text': '0.3-3.9'}; HIGH; specimen plasma; timing at presentation; age P1Y6M / 1.5 years</t>
  </si>
  <si>
    <t xml:space="preserve">PMID_42688021_Patient_2#measurement:6</t>
  </si>
  <si>
    <t xml:space="preserve">Aldosterone</t>
  </si>
  <si>
    <t xml:space="preserve">22.4; ref {'low': 3, 'high': 35, 'text': '3-35'}; NORMAL; specimen blood; timing at presentation; age P1Y6M / 1.5 years</t>
  </si>
  <si>
    <t xml:space="preserve">| r7 | Aldosterone (ng/dl) | 22.4 | 3-35 |</t>
  </si>
  <si>
    <t xml:space="preserve">tab:2 r7c2</t>
  </si>
  <si>
    <t xml:space="preserve">in document</t>
  </si>
  <si>
    <t xml:space="preserve">PMID_42688021_Patient_2#measurement:7</t>
  </si>
  <si>
    <t xml:space="preserve">androstenedione</t>
  </si>
  <si>
    <t xml:space="preserve">0.11; ref {'low': 0.15, 'high': 3.1, 'text': '0.15-3.1'}; LOW; specimen blood; timing at presentation; age P1Y6M / 1.5 years</t>
  </si>
  <si>
    <t xml:space="preserve">PMID_42688021_Patient_2#measurement:8</t>
  </si>
  <si>
    <t xml:space="preserve">testosterone</t>
  </si>
  <si>
    <t xml:space="preserve">0.06; ref {'low': 1.75, 'high': 7.81, 'text': '1.75-7.81'}; LOW; specimen blood; timing at presentation; age P1Y6M / 1.5 years</t>
  </si>
  <si>
    <t xml:space="preserve">PMID_42688021_Patient_2#measurement:9</t>
  </si>
  <si>
    <t xml:space="preserve">remained normal; NORMAL; specimen blood; timing follow-up</t>
  </si>
  <si>
    <t xml:space="preserve">They were treated with hydrocortisone (∼10 mg/m2/day) and fludrocortisone (0.05-0.1 mg/day), and their blood pressure, sodium, potassium, and PRA levels remained normal.</t>
  </si>
  <si>
    <t xml:space="preserve">PMID_42688021_Patient_2#measurement:10</t>
  </si>
  <si>
    <t xml:space="preserve">PMID_42688021_Patient_2#measurement:11</t>
  </si>
  <si>
    <t xml:space="preserve">remained normal; NORMAL; specimen plasma; timing follow-up</t>
  </si>
  <si>
    <t xml:space="preserve">PMID_42688021_Patient_2#genetic_finding:0</t>
  </si>
  <si>
    <t xml:space="preserve">genetic_finding</t>
  </si>
  <si>
    <t xml:space="preserve">STAR c.749G&gt;A p.Trp250Ter</t>
  </si>
  <si>
    <t xml:space="preserve">COMPOUND_HETEROZYGOUS; maternal; pathogenic; clinical exome sequencing (TruSight One panel, Illumina); parental segregation by clinical exome sequencing</t>
  </si>
  <si>
    <t xml:space="preserve">(D) Familial segregation of the c.749G&gt;A (p.Trp250Ter) variant, demonstrating its presence in the affected siblings and their mother.</t>
  </si>
  <si>
    <t xml:space="preserve">fig:2</t>
  </si>
  <si>
    <t xml:space="preserve">PMID_42688021_Patient_2#genetic_finding:1</t>
  </si>
  <si>
    <t xml:space="preserve">STAR c.562C&gt;T p.Arg188Cys</t>
  </si>
  <si>
    <t xml:space="preserve">COMPOUND_HETEROZYGOUS; paternal; pathogenic; clinical exome sequencing (TruSight One panel, Illumina); parental segregation by clinical exome sequencing</t>
  </si>
  <si>
    <t xml:space="preserve">(C) Familial segregation of the c.562C&gt;T (p.Arg188Cys) variant, demonstrating its presence in the affected siblings and their father.</t>
  </si>
  <si>
    <t xml:space="preserve">PMID_42688021_Patient_2#diagnosis:0</t>
  </si>
  <si>
    <t xml:space="preserve">diagnosis</t>
  </si>
  <si>
    <t xml:space="preserve">Lipoid congenital adrenal hyperplasia (LCAH)</t>
  </si>
  <si>
    <t xml:space="preserve">FINAL; MOLECULAR; symptomatic; age at dx early childhood</t>
  </si>
  <si>
    <t xml:space="preserve">MONDO:0008725 congenital lipoid adrenal hyperplasia due to STAR deficency</t>
  </si>
  <si>
    <t xml:space="preserve">Clinical exome sequencing showed the same result as in the sister, compound heterozygosity for pathogenic variants in the STAR gene.</t>
  </si>
  <si>
    <t xml:space="preserve">PMID_42688021_Patient_2#diagnosis:1</t>
  </si>
  <si>
    <t xml:space="preserve">Primary adrenal insufficiency (PAI)</t>
  </si>
  <si>
    <t xml:space="preserve">REVISED_FROM; BIOCHEMICAL; symptomatic; age at dx P1Y6M / 1.5 years</t>
  </si>
  <si>
    <t xml:space="preserve">PMID_42688021_Patient_2#treatment:0</t>
  </si>
  <si>
    <t xml:space="preserve">treatment</t>
  </si>
  <si>
    <t xml:space="preserve">Hydrocortisone substitution (∼10 mg/m2/day)</t>
  </si>
  <si>
    <t xml:space="preserve">drug; hydrocortisone; response: stable; their blood pressure, sodium, potassium, and PRA levels remained normal; growth appropriate for age; no adrenal crisis during follow-up</t>
  </si>
  <si>
    <t xml:space="preserve">PMID_42688021_Patient_2#treatment:1</t>
  </si>
  <si>
    <t xml:space="preserve">Fludrocortisone substitution (0.05-0.1 mg/day)</t>
  </si>
  <si>
    <t xml:space="preserve">drug; fludrocortisone; response: stable; their blood pressure, sodium, potassium, and PRA levels remained normal; no adrenal crisis during follow-up</t>
  </si>
  <si>
    <t xml:space="preserve">PMID_42688021_Patient_2#treatment:2</t>
  </si>
  <si>
    <t xml:space="preserve">Right orchiopexy at age four years for migratory testicle</t>
  </si>
  <si>
    <t xml:space="preserve">other; orchiopexy; response: improved; at 5.5 years both testes were in the scrotum, with a volume of 2 mL each</t>
  </si>
  <si>
    <t xml:space="preserve">PMID_42688021_Patient_2#outcome:0</t>
  </si>
  <si>
    <t xml:space="preserve">outcome</t>
  </si>
  <si>
    <t xml:space="preserve">Alive at last follow-up at 5.5 years of age on hydrocortisone and fludrocortisone; height 114 cm (50-75th percentile), weight 17 kg (10th percentile); both testes in the scrotum (2 mL each) after right orchiopexy at four years; no adrenal crisis during follow-up.</t>
  </si>
  <si>
    <t xml:space="preserve">PMID_42466981_Case_1#subject:0</t>
  </si>
  <si>
    <t xml:space="preserve">PMID_42466981_Case_1</t>
  </si>
  <si>
    <t xml:space="preserve">42466981</t>
  </si>
  <si>
    <t xml:space="preserve">Case 1</t>
  </si>
  <si>
    <t xml:space="preserve">FEMALE</t>
  </si>
  <si>
    <t xml:space="preserve">PMID_42466981_Case_1#subject:1</t>
  </si>
  <si>
    <t xml:space="preserve">PMID_42466981_Case_1#subject:2</t>
  </si>
  <si>
    <t xml:space="preserve">P13Y / 13 years of age</t>
  </si>
  <si>
    <t xml:space="preserve">At 13 years of age, she developed a symmetrical upper limb rest tremor.</t>
  </si>
  <si>
    <t xml:space="preserve">sec:2 ¶1</t>
  </si>
  <si>
    <t xml:space="preserve">PMID_42466981_Case_1#subject:3</t>
  </si>
  <si>
    <t xml:space="preserve">P25Y / 25 years of age (neurological examination)</t>
  </si>
  <si>
    <t xml:space="preserve">Neurological examination at 25 years of age showed a waddling gait and Gowers' sign.</t>
  </si>
  <si>
    <t xml:space="preserve">sec:2 ¶2</t>
  </si>
  <si>
    <t xml:space="preserve">PMID_42466981_Case_1#subject:4</t>
  </si>
  <si>
    <t xml:space="preserve">P34Y / 34‐year‐old (age at report)</t>
  </si>
  <si>
    <t xml:space="preserve">Case 1 was a 34‐year‐old woman born to nonconsanguineous parents, with normal birth, neurodevelopment, academic performance, and preserved cognition.</t>
  </si>
  <si>
    <t xml:space="preserve">PMID_42466981_Case_1#family:0</t>
  </si>
  <si>
    <t xml:space="preserve">consanguinity</t>
  </si>
  <si>
    <t xml:space="preserve">no</t>
  </si>
  <si>
    <t xml:space="preserve">PMID_42466981_Case_1#family:1</t>
  </si>
  <si>
    <t xml:space="preserve">Born to nonconsanguineous parents; unrelated to Case 2. No family history reported.</t>
  </si>
  <si>
    <t xml:space="preserve">PMID_42466981_Case_1#phenotype:0</t>
  </si>
  <si>
    <t xml:space="preserve">ABSENT: Global developmental delay</t>
  </si>
  <si>
    <t xml:space="preserve">normal birth, neurodevelopment and academic performance</t>
  </si>
  <si>
    <t xml:space="preserve">HP:0001263 Global developmental delay</t>
  </si>
  <si>
    <t xml:space="preserve">PMID_42466981_Case_1#phenotype:1</t>
  </si>
  <si>
    <t xml:space="preserve">Resting tremor</t>
  </si>
  <si>
    <t xml:space="preserve">onset P13Y / 13 years of age; mild; symmetrical, upper limbs</t>
  </si>
  <si>
    <t xml:space="preserve">HP:0002322 Resting tremor</t>
  </si>
  <si>
    <t xml:space="preserve">PMID_42466981_Case_1#phenotype:2</t>
  </si>
  <si>
    <t xml:space="preserve">Proximal muscle weakness in lower limbs</t>
  </si>
  <si>
    <t xml:space="preserve">slowly progressive; lower limb-predominant with clear proximal predominance</t>
  </si>
  <si>
    <t xml:space="preserve">HP:0008994 Proximal lower limb muscle weakness</t>
  </si>
  <si>
    <t xml:space="preserve">Over subsequent years, she experienced slowly progressive weakness predominantly affecting the lower limbs, with clear proximal predominance.</t>
  </si>
  <si>
    <t xml:space="preserve">PMID_42466981_Case_1#phenotype:3</t>
  </si>
  <si>
    <t xml:space="preserve">Hip flexion weakness</t>
  </si>
  <si>
    <t xml:space="preserve">onset from symptom onset; disproportionate</t>
  </si>
  <si>
    <t xml:space="preserve">From symptom onset, she reported disproportionate difficulty with activities requiring hip flexion, including climbing stairs, rising from a seated position, and getting into a car.</t>
  </si>
  <si>
    <t xml:space="preserve">PMID_42466981_Case_1#phenotype:4</t>
  </si>
  <si>
    <t xml:space="preserve">Difficulty climbing stairs</t>
  </si>
  <si>
    <t xml:space="preserve">HP:0003551 Difficulty climbing stairs</t>
  </si>
  <si>
    <t xml:space="preserve">PMID_42466981_Case_1#phenotype:5</t>
  </si>
  <si>
    <t xml:space="preserve">Difficulty rising from a seated position</t>
  </si>
  <si>
    <t xml:space="preserve">PMID_42466981_Case_1#phenotype:6</t>
  </si>
  <si>
    <t xml:space="preserve">Upper limb muscle weakness</t>
  </si>
  <si>
    <t xml:space="preserve">onset later (after lower limb weakness); predominantly arm extension</t>
  </si>
  <si>
    <t xml:space="preserve">HP:0003484 Upper limb muscle weakness</t>
  </si>
  <si>
    <t xml:space="preserve">Upper limb involvement emerged later, predominantly affecting arm extension and hand dexterity.</t>
  </si>
  <si>
    <t xml:space="preserve">PMID_42466981_Case_1#phenotype:7</t>
  </si>
  <si>
    <t xml:space="preserve">Impaired hand dexterity</t>
  </si>
  <si>
    <t xml:space="preserve">PMID_42466981_Case_1#phenotype:8</t>
  </si>
  <si>
    <t xml:space="preserve">Lower motor neuron syndrome</t>
  </si>
  <si>
    <t xml:space="preserve">lower limb predominance; disproportionate involvement of hip flexion and arm extension</t>
  </si>
  <si>
    <t xml:space="preserve">In this report, we describe two unrelated patients with LOTS presenting with a lower motor neuron syndrome characterized by lower limb predominance and disproportionate involvement of hip flexion and arm extension.</t>
  </si>
  <si>
    <t xml:space="preserve">sec:1 ¶5</t>
  </si>
  <si>
    <t xml:space="preserve">PMID_42466981_Case_1#phenotype:9</t>
  </si>
  <si>
    <t xml:space="preserve">Flaccid weakness, lower limb-predominant</t>
  </si>
  <si>
    <t xml:space="preserve">onset second decade of life; slowly progressive</t>
  </si>
  <si>
    <t xml:space="preserve">We report two female patients presenting in the second decade of life with slowly progressive, lower limb–predominant flaccid weakness associated with tremor.</t>
  </si>
  <si>
    <t xml:space="preserve">abstract</t>
  </si>
  <si>
    <t xml:space="preserve">PMID_42466981_Case_1#phenotype:10</t>
  </si>
  <si>
    <t xml:space="preserve">Waddling gait</t>
  </si>
  <si>
    <t xml:space="preserve">HP:0002515 Waddling gait</t>
  </si>
  <si>
    <t xml:space="preserve">PMID_42466981_Case_1#phenotype:11</t>
  </si>
  <si>
    <t xml:space="preserve">Gowers sign</t>
  </si>
  <si>
    <t xml:space="preserve">HP:0003391 Gowers sign</t>
  </si>
  <si>
    <t xml:space="preserve">PMID_42466981_Case_1#phenotype:12</t>
  </si>
  <si>
    <t xml:space="preserve">Symmetric non-length-dependent muscle weakness</t>
  </si>
  <si>
    <t xml:space="preserve">symmetric, nonlength-dependent</t>
  </si>
  <si>
    <t xml:space="preserve">Using the 0–5 Medical Research Council (MRC) scale demonstrated symmetric, nonlength‐dependent weakness</t>
  </si>
  <si>
    <t xml:space="preserve">PMID_42466981_Case_1#phenotype:13</t>
  </si>
  <si>
    <t xml:space="preserve">ABSENT: Neck muscle weakness</t>
  </si>
  <si>
    <t xml:space="preserve">MRC 5 (neck flexion and extension)</t>
  </si>
  <si>
    <t xml:space="preserve">HP:0000467 Neck muscle weakness</t>
  </si>
  <si>
    <t xml:space="preserve">neck flexion 5, neck extension 5; arm abduction 3, arm adduction 4; elbow flexion 4+, elbow extension 2–3</t>
  </si>
  <si>
    <t xml:space="preserve">PMID_42466981_Case_1#phenotype:14</t>
  </si>
  <si>
    <t xml:space="preserve">Arm abduction weakness</t>
  </si>
  <si>
    <t xml:space="preserve">MRC 3</t>
  </si>
  <si>
    <t xml:space="preserve">PMID_42466981_Case_1#phenotype:15</t>
  </si>
  <si>
    <t xml:space="preserve">Arm adduction weakness</t>
  </si>
  <si>
    <t xml:space="preserve">MRC 4 (text)</t>
  </si>
  <si>
    <t xml:space="preserve">PMID_42466981_Case_1#phenotype:16</t>
  </si>
  <si>
    <t xml:space="preserve">MRC 4− (Table 1)</t>
  </si>
  <si>
    <t xml:space="preserve">Arm adduction | 4− | 4 | Latissimus dorsi, pectoral and subscapularis muscles</t>
  </si>
  <si>
    <t xml:space="preserve">tab:1 r5c2</t>
  </si>
  <si>
    <t xml:space="preserve">PMID_42466981_Case_1#phenotype:17</t>
  </si>
  <si>
    <t xml:space="preserve">Elbow flexion weakness</t>
  </si>
  <si>
    <t xml:space="preserve">MRC 4+</t>
  </si>
  <si>
    <t xml:space="preserve">PMID_42466981_Case_1#phenotype:18</t>
  </si>
  <si>
    <t xml:space="preserve">Elbow extension weakness</t>
  </si>
  <si>
    <t xml:space="preserve">MRC 2–3; disproportionate (triceps sign)</t>
  </si>
  <si>
    <t xml:space="preserve">PMID_42466981_Case_1#phenotype:19</t>
  </si>
  <si>
    <t xml:space="preserve">Wrist flexion weakness</t>
  </si>
  <si>
    <t xml:space="preserve">MRC 4</t>
  </si>
  <si>
    <t xml:space="preserve">wrist flexion 4, wrist extension 4+; finger extension 4, intrinsic hand muscles 4; hip flexion 2, hip extension 3</t>
  </si>
  <si>
    <t xml:space="preserve">PMID_42466981_Case_1#phenotype:20</t>
  </si>
  <si>
    <t xml:space="preserve">Wrist extension weakness</t>
  </si>
  <si>
    <t xml:space="preserve">PMID_42466981_Case_1#phenotype:21</t>
  </si>
  <si>
    <t xml:space="preserve">Finger extension weakness</t>
  </si>
  <si>
    <t xml:space="preserve">PMID_42466981_Case_1#phenotype:22</t>
  </si>
  <si>
    <t xml:space="preserve">Intrinsic hand muscle weakness</t>
  </si>
  <si>
    <t xml:space="preserve">HP:0009005 Weakness of the intrinsic hand muscles</t>
  </si>
  <si>
    <t xml:space="preserve">PMID_42466981_Case_1#phenotype:23</t>
  </si>
  <si>
    <t xml:space="preserve">Intrinsic hand muscles | 4− | 4 | Intrinsic hand muscles</t>
  </si>
  <si>
    <t xml:space="preserve">tab:1 r11c2</t>
  </si>
  <si>
    <t xml:space="preserve">PMID_42466981_Case_1#phenotype:24</t>
  </si>
  <si>
    <t xml:space="preserve">MRC 2; on examination at 25 years</t>
  </si>
  <si>
    <t xml:space="preserve">PMID_42466981_Case_1#phenotype:25</t>
  </si>
  <si>
    <t xml:space="preserve">Hip extension weakness</t>
  </si>
  <si>
    <t xml:space="preserve">PMID_42466981_Case_1#phenotype:26</t>
  </si>
  <si>
    <t xml:space="preserve">Leg adduction weakness</t>
  </si>
  <si>
    <t xml:space="preserve">leg adduction 4+, leg abduction 4+; knee extension 3, knee flexion 4−; ankle dorsiflexion 2, ankle plantar flexion 2; toe extension 2, and toe flexion 2</t>
  </si>
  <si>
    <t xml:space="preserve">PMID_42466981_Case_1#phenotype:27</t>
  </si>
  <si>
    <t xml:space="preserve">Leg abduction weakness</t>
  </si>
  <si>
    <t xml:space="preserve">MRC 4+ (text)</t>
  </si>
  <si>
    <t xml:space="preserve">PMID_42466981_Case_1#phenotype:28</t>
  </si>
  <si>
    <t xml:space="preserve">Leg abduction | 4− | 4+ | Gluteus medius/minimus</t>
  </si>
  <si>
    <t xml:space="preserve">tab:1 r15c2</t>
  </si>
  <si>
    <t xml:space="preserve">PMID_42466981_Case_1#phenotype:29</t>
  </si>
  <si>
    <t xml:space="preserve">Knee extension weakness</t>
  </si>
  <si>
    <t xml:space="preserve">PMID_42466981_Case_1#phenotype:30</t>
  </si>
  <si>
    <t xml:space="preserve">Knee flexion weakness</t>
  </si>
  <si>
    <t xml:space="preserve">MRC 4−</t>
  </si>
  <si>
    <t xml:space="preserve">PMID_42466981_Case_1#phenotype:31</t>
  </si>
  <si>
    <t xml:space="preserve">Foot dorsiflexor weakness</t>
  </si>
  <si>
    <t xml:space="preserve">MRC 2</t>
  </si>
  <si>
    <t xml:space="preserve">HP:0009027 Foot dorsiflexor weakness</t>
  </si>
  <si>
    <t xml:space="preserve">PMID_42466981_Case_1#phenotype:32</t>
  </si>
  <si>
    <t xml:space="preserve">Ankle plantar flexion weakness</t>
  </si>
  <si>
    <t xml:space="preserve">PMID_42466981_Case_1#phenotype:33</t>
  </si>
  <si>
    <t xml:space="preserve">Toe extension weakness</t>
  </si>
  <si>
    <t xml:space="preserve">PMID_42466981_Case_1#phenotype:34</t>
  </si>
  <si>
    <t xml:space="preserve">Toe flexion weakness</t>
  </si>
  <si>
    <t xml:space="preserve">PMID_42466981_Case_1#phenotype:35</t>
  </si>
  <si>
    <t xml:space="preserve">Areflexia of lower limbs</t>
  </si>
  <si>
    <t xml:space="preserve">HP:0002522 Areflexia of lower limbs</t>
  </si>
  <si>
    <t xml:space="preserve">Deep tendon reflexes were preserved in the upper limbs and absent in the lower limbs.</t>
  </si>
  <si>
    <t xml:space="preserve">PMID_42466981_Case_1#phenotype:36</t>
  </si>
  <si>
    <t xml:space="preserve">ABSENT: Hyporeflexia of upper limbs</t>
  </si>
  <si>
    <t xml:space="preserve">deep tendon reflexes preserved in the upper limbs</t>
  </si>
  <si>
    <t xml:space="preserve">HP:0012391 Hyporeflexia of upper limbs</t>
  </si>
  <si>
    <t xml:space="preserve">PMID_42466981_Case_1#phenotype:37</t>
  </si>
  <si>
    <t xml:space="preserve">ABSENT: Bradykinesia</t>
  </si>
  <si>
    <t xml:space="preserve">HP:0002067 Bradykinesia</t>
  </si>
  <si>
    <t xml:space="preserve">A mild rest tremor was present without bradykinesia or rigidity.</t>
  </si>
  <si>
    <t xml:space="preserve">PMID_42466981_Case_1#phenotype:38</t>
  </si>
  <si>
    <t xml:space="preserve">ABSENT: Rigidity</t>
  </si>
  <si>
    <t xml:space="preserve">HP:0002063 Rigidity</t>
  </si>
  <si>
    <t xml:space="preserve">PMID_42466981_Case_1#phenotype:39</t>
  </si>
  <si>
    <t xml:space="preserve">ABSENT: Sensory impairment</t>
  </si>
  <si>
    <t xml:space="preserve">sensory examination normal</t>
  </si>
  <si>
    <t xml:space="preserve">HP:0003474 Somatic sensory dysfunction</t>
  </si>
  <si>
    <t xml:space="preserve">Sensory examination, cranial nerve examination, cognition, and fundoscopy were normal, with no cherry‐red macula, psychiatric or extrapyramidal features.</t>
  </si>
  <si>
    <t xml:space="preserve">PMID_42466981_Case_1#phenotype:40</t>
  </si>
  <si>
    <t xml:space="preserve">ABSENT: Cranial nerve abnormality</t>
  </si>
  <si>
    <t xml:space="preserve">cranial nerve examination normal</t>
  </si>
  <si>
    <t xml:space="preserve">HP:0001291 Abnormal cranial nerve morphology</t>
  </si>
  <si>
    <t xml:space="preserve">PMID_42466981_Case_1#phenotype:41</t>
  </si>
  <si>
    <t xml:space="preserve">ABSENT: Cognitive impairment</t>
  </si>
  <si>
    <t xml:space="preserve">cognition normal / preserved</t>
  </si>
  <si>
    <t xml:space="preserve">HP:0100543 Cognitive impairment</t>
  </si>
  <si>
    <t xml:space="preserve">PMID_42466981_Case_1#phenotype:42</t>
  </si>
  <si>
    <t xml:space="preserve">ABSENT: Cherry red spot of the macula</t>
  </si>
  <si>
    <t xml:space="preserve">fundoscopy normal</t>
  </si>
  <si>
    <t xml:space="preserve">HP:0010729 Cherry red spot of the macula</t>
  </si>
  <si>
    <t xml:space="preserve">PMID_42466981_Case_1#phenotype:43</t>
  </si>
  <si>
    <t xml:space="preserve">ABSENT: Psychiatric manifestations</t>
  </si>
  <si>
    <t xml:space="preserve">PMID_42466981_Case_1#phenotype:44</t>
  </si>
  <si>
    <t xml:space="preserve">ABSENT: Abnormality of extrapyramidal motor function</t>
  </si>
  <si>
    <t xml:space="preserve">HP:0002071 Abnormality of extrapyramidal motor function</t>
  </si>
  <si>
    <t xml:space="preserve">PMID_42466981_Case_1#phenotype:45</t>
  </si>
  <si>
    <t xml:space="preserve">Decreased compound muscle action potential amplitude</t>
  </si>
  <si>
    <t xml:space="preserve">lower limbs; nerve conduction studies</t>
  </si>
  <si>
    <t xml:space="preserve">HP:0033383 Decreased compound muscle action potential amplitude</t>
  </si>
  <si>
    <t xml:space="preserve">Nerve conduction studies demonstrated normal sensory nerve action potentials and reduced compound muscle action potential amplitudes in the lower limbs.</t>
  </si>
  <si>
    <t xml:space="preserve">sec:2 ¶3</t>
  </si>
  <si>
    <t xml:space="preserve">PMID_42466981_Case_1#phenotype:46</t>
  </si>
  <si>
    <t xml:space="preserve">ABSENT: Abnormal sensory nerve action potential</t>
  </si>
  <si>
    <t xml:space="preserve">sensory nerve action potentials normal</t>
  </si>
  <si>
    <t xml:space="preserve">PMID_42466981_Case_1#phenotype:47</t>
  </si>
  <si>
    <t xml:space="preserve">EMG: chronic denervation signs</t>
  </si>
  <si>
    <t xml:space="preserve">diffuse; proximal and non-length-dependent; upper and lower limbs</t>
  </si>
  <si>
    <t xml:space="preserve">HP:0003444 EMG: chronic denervation signs</t>
  </si>
  <si>
    <t xml:space="preserve">Electromyography in both upper and lower limbs showed diffuse chronic denervation with a proximal and non–length‐dependent distribution.</t>
  </si>
  <si>
    <t xml:space="preserve">PMID_42466981_Case_1#phenotype:48</t>
  </si>
  <si>
    <t xml:space="preserve">EMG: neuropathic changes</t>
  </si>
  <si>
    <t xml:space="preserve">neurogenic pattern</t>
  </si>
  <si>
    <t xml:space="preserve">HP:0003445 EMG: neuropathic changes</t>
  </si>
  <si>
    <t xml:space="preserve">Electromyography demonstrated a neurogenic pattern.</t>
  </si>
  <si>
    <t xml:space="preserve">PMID_42466981_Case_1#phenotype:49</t>
  </si>
  <si>
    <t xml:space="preserve">Fatty replacement of skeletal muscle</t>
  </si>
  <si>
    <t xml:space="preserve">symmetric, selective; T1-weighted whole-body muscle MRI</t>
  </si>
  <si>
    <t xml:space="preserve">HP:0012548 Fatty replacement of skeletal muscle</t>
  </si>
  <si>
    <t xml:space="preserve">wbMRI in both patients demonstrated a symmetric pattern of selective fatty infiltration on T1‐weighted sequences with normal STIR imaging, indicating a chronic, noninflammatory process.</t>
  </si>
  <si>
    <t xml:space="preserve">sec:2 ¶9</t>
  </si>
  <si>
    <t xml:space="preserve">PMID_42466981_Case_1#phenotype:50</t>
  </si>
  <si>
    <t xml:space="preserve">ABSENT: Muscle edema on STIR MRI</t>
  </si>
  <si>
    <t xml:space="preserve">normal STIR imaging</t>
  </si>
  <si>
    <t xml:space="preserve">PMID_42466981_Case_1#phenotype:51</t>
  </si>
  <si>
    <t xml:space="preserve">Fatty infiltration of triceps brachii</t>
  </si>
  <si>
    <t xml:space="preserve">muscle MRI; predominant upper limb involvement</t>
  </si>
  <si>
    <t xml:space="preserve">Fatty infiltration predominantly affected the triceps brachii in the upper limbs; the iliopsoas, gluteus medius, and gluteus minimus at the pelvic level; and anterior and posterior compartments of the thighs and legs</t>
  </si>
  <si>
    <t xml:space="preserve">PMID_42466981_Case_1#phenotype:52</t>
  </si>
  <si>
    <t xml:space="preserve">Fatty infiltration of iliopsoas</t>
  </si>
  <si>
    <t xml:space="preserve">muscle MRI</t>
  </si>
  <si>
    <t xml:space="preserve">PMID_42466981_Case_1#phenotype:53</t>
  </si>
  <si>
    <t xml:space="preserve">Fatty infiltration of gluteus medius</t>
  </si>
  <si>
    <t xml:space="preserve">PMID_42466981_Case_1#phenotype:54</t>
  </si>
  <si>
    <t xml:space="preserve">Fatty infiltration of gluteus minimus</t>
  </si>
  <si>
    <t xml:space="preserve">PMID_42466981_Case_1#phenotype:55</t>
  </si>
  <si>
    <t xml:space="preserve">Fatty infiltration of anterior and posterior thigh compartments</t>
  </si>
  <si>
    <t xml:space="preserve">PMID_42466981_Case_1#phenotype:56</t>
  </si>
  <si>
    <t xml:space="preserve">Fatty infiltration of anterior and posterior leg compartments</t>
  </si>
  <si>
    <t xml:space="preserve">PMID_42466981_Case_1#phenotype:57</t>
  </si>
  <si>
    <t xml:space="preserve">ABSENT: Fatty infiltration of adductor longus</t>
  </si>
  <si>
    <t xml:space="preserve">relatively spared on muscle MRI</t>
  </si>
  <si>
    <t xml:space="preserve">with relative sparing of the adductor longus, semitendinosus, and, to a lesser extent, toe extensors (Figure 1).</t>
  </si>
  <si>
    <t xml:space="preserve">PMID_42466981_Case_1#phenotype:58</t>
  </si>
  <si>
    <t xml:space="preserve">ABSENT: Fatty infiltration of semitendinosus</t>
  </si>
  <si>
    <t xml:space="preserve">PMID_42466981_Case_1#phenotype:59</t>
  </si>
  <si>
    <t xml:space="preserve">ABSENT: Fatty infiltration of toe extensors</t>
  </si>
  <si>
    <t xml:space="preserve">relatively spared to a lesser extent on muscle MRI</t>
  </si>
  <si>
    <t xml:space="preserve">PMID_42466981_Case_1#enzyme_activity:0</t>
  </si>
  <si>
    <t xml:space="preserve">enzyme_activity</t>
  </si>
  <si>
    <t xml:space="preserve">absolute HexA activity (β‐hexosaminidase A)</t>
  </si>
  <si>
    <t xml:space="preserve">500.0 nmol/h/mL; REDUCED; reference 550–1675; described as mildly reduced</t>
  </si>
  <si>
    <t xml:space="preserve">HEXA 3.2.1.52</t>
  </si>
  <si>
    <t xml:space="preserve">β‐Hexosaminidase analysis demonstrated mildly reduced absolute HexA activity (500.0 nmol/h/mL; reference 550–1675), reduced total hexosaminidase activity, and preserved relative HexA fraction (62%), consistent with partial HexA deficiency.</t>
  </si>
  <si>
    <t xml:space="preserve">sec:2 ¶7</t>
  </si>
  <si>
    <t xml:space="preserve">PMID_42466981_Case_1#enzyme_activity:1</t>
  </si>
  <si>
    <t xml:space="preserve">total hexosaminidase activity</t>
  </si>
  <si>
    <t xml:space="preserve">REDUCED; reported as reduced; no value given</t>
  </si>
  <si>
    <t xml:space="preserve">3.2.1.52</t>
  </si>
  <si>
    <t xml:space="preserve">PMID_42466981_Case_1#enzyme_activity:2</t>
  </si>
  <si>
    <t xml:space="preserve">relative HexA fraction (HexA as percentage of total hexosaminidase)</t>
  </si>
  <si>
    <t xml:space="preserve">62 %; NORMAL; described as preserved</t>
  </si>
  <si>
    <t xml:space="preserve">PMID_42466981_Case_1#genetic_finding:0</t>
  </si>
  <si>
    <t xml:space="preserve">HEXA c.533G&gt;A p.Arg178His</t>
  </si>
  <si>
    <t xml:space="preserve">COMPOUND_HETEROZYGOUS; biparental; pathogenic; WES; Sanger sequencing confirmed segregation in trans; transcript NM_000520.6</t>
  </si>
  <si>
    <t xml:space="preserve">Whole‐exome sequencing (WES) in Case 1 identified two heterozygous HEXA variants (NM_000520.6): c.533G&gt;A (p.Arg178His) and c.782G&gt;A (p.Gly261Asp).</t>
  </si>
  <si>
    <t xml:space="preserve">sec:2 ¶6</t>
  </si>
  <si>
    <t xml:space="preserve">PMID_42466981_Case_1#genetic_finding:1</t>
  </si>
  <si>
    <t xml:space="preserve">HEXA c.782G&gt;A p.Gly261Asp</t>
  </si>
  <si>
    <t xml:space="preserve">COMPOUND_HETEROZYGOUS; biparental; not_stated; WES; Sanger sequencing confirmed segregation in trans; transcript NM_000520.6</t>
  </si>
  <si>
    <t xml:space="preserve">The p.Gly261Asp variant affects a conserved residue, is predicted deleterious by in silico tools, and is absent in homozygosity in gnomAD v4. Sanger sequencing confirmed segregation in trans, supporting compound heterozygosity.</t>
  </si>
  <si>
    <t xml:space="preserve">PMID_42466981_Case_1#genetic_finding:2</t>
  </si>
  <si>
    <t xml:space="preserve">SMN1</t>
  </si>
  <si>
    <t xml:space="preserve">UNKNOWN; MLPA</t>
  </si>
  <si>
    <t xml:space="preserve">MLPA analysis revealed two copies of SMN1.</t>
  </si>
  <si>
    <t xml:space="preserve">PMID_42466981_Case_1#diagnosis:0</t>
  </si>
  <si>
    <t xml:space="preserve">Late-onset Tay–Sachs disease (LOTS)</t>
  </si>
  <si>
    <t xml:space="preserve">FINAL; MOLECULAR; symptomatic</t>
  </si>
  <si>
    <t xml:space="preserve">MONDO:0010100 Tay-Sachs disease</t>
  </si>
  <si>
    <t xml:space="preserve">PMID_42466981_Case_1#diagnosis:1</t>
  </si>
  <si>
    <t xml:space="preserve">Spinal muscular atrophy with lower extremity predominance (SMALED)</t>
  </si>
  <si>
    <t xml:space="preserve">DIFFERENTIAL; CLINICAL</t>
  </si>
  <si>
    <t xml:space="preserve">spinal muscular atrophy, lower extremity-predominant</t>
  </si>
  <si>
    <t xml:space="preserve">In both of our patients, wbMRI demonstrated a pattern showing overlap with the canonical SMALED radiological signature, particularly at the pelvic and thigh levels.</t>
  </si>
  <si>
    <t xml:space="preserve">sec:3 ¶2</t>
  </si>
  <si>
    <t xml:space="preserve">PMID_42466981_Case_1#outcome:0</t>
  </si>
  <si>
    <t xml:space="preserve">Alive at 34 years of age with slowly progressive lower limb-predominant weakness and later upper limb involvement; no treatment reported.</t>
  </si>
  <si>
    <t xml:space="preserve">PMID_42653298_father_II_1#subject:0</t>
  </si>
  <si>
    <t xml:space="preserve">PMID_42653298_father_II_1</t>
  </si>
  <si>
    <t xml:space="preserve">42653298</t>
  </si>
  <si>
    <t xml:space="preserve">father (II-1)</t>
  </si>
  <si>
    <t xml:space="preserve">PMID_42653298_father_II_1#subject:1</t>
  </si>
  <si>
    <t xml:space="preserve">PMID_42653298_father_II_1#subject:2</t>
  </si>
  <si>
    <t xml:space="preserve">Italy</t>
  </si>
  <si>
    <t xml:space="preserve">PMID_42653298_father_II_1#subject:3</t>
  </si>
  <si>
    <t xml:space="preserve">P19Y / At 19 years of age</t>
  </si>
  <si>
    <t xml:space="preserve">At 19 years of age, the father developed muscle weakness following tonsillectomy and was subsequently diagnosed with MADD based on biochemical laboratory findings (elevated blood acylcarnitine levels) and mild lipid accumulation on muscle biopsy.</t>
  </si>
  <si>
    <t xml:space="preserve">sec:12 ¶2</t>
  </si>
  <si>
    <t xml:space="preserve">PMID_42653298_father_II_1#subject:4</t>
  </si>
  <si>
    <t xml:space="preserve">P45Y / 45 years old (at study enrolment)</t>
  </si>
  <si>
    <t xml:space="preserve">It comprised a grandfather (71 years old) (I-1 in Supplementary Figure S1), father (45 years old) (II-1 in Supplementary Figure S1), both with a biochemical and histological diagnosis of MADD, and his daughter and his son (8 and 10 years old, respectively)</t>
  </si>
  <si>
    <t xml:space="preserve">sec:12 ¶1</t>
  </si>
  <si>
    <t xml:space="preserve">PMID_42653298_father_II_1#family:0</t>
  </si>
  <si>
    <t xml:space="preserve">PMID_42653298_father_II_1#family:1</t>
  </si>
  <si>
    <t xml:space="preserve">Three-generation family (grandfather I-1, father II-1, son III-1, daughter III-2) all heterozygous for ETFDH c.1798A&gt;C; grandfather and father symptomatic with MADD, the two children asymptomatic with an altered acylcarnitine profile. No genetic isolate and no known consanguinity within the last three generations.</t>
  </si>
  <si>
    <t xml:space="preserve">PMID_42653298_father_II_1#phenotype:0</t>
  </si>
  <si>
    <t xml:space="preserve">Muscle weakness</t>
  </si>
  <si>
    <t xml:space="preserve">onset P19Y / At 19 years of age; following tonsillectomy</t>
  </si>
  <si>
    <t xml:space="preserve">HP:0001324 Muscle weakness</t>
  </si>
  <si>
    <t xml:space="preserve">PMID_42653298_father_II_1#phenotype:1</t>
  </si>
  <si>
    <t xml:space="preserve">Increased muscle lipid content</t>
  </si>
  <si>
    <t xml:space="preserve">mild</t>
  </si>
  <si>
    <t xml:space="preserve">HP:0009058 Increased muscle lipid content</t>
  </si>
  <si>
    <t xml:space="preserve">PMID_42653298_father_II_1#phenotype:2</t>
  </si>
  <si>
    <t xml:space="preserve">Fatigue</t>
  </si>
  <si>
    <t xml:space="preserve">HP:0012378 Fatigue</t>
  </si>
  <si>
    <t xml:space="preserve">Consistently, the family described here presents a clinically significant phenotype (fatigue, high carnitine levels, and lipid accumulation in muscles) carrying only one copy of the ETFDH c.1798A&gt;C (p.Asn600His) variant.</t>
  </si>
  <si>
    <t xml:space="preserve">PMID_42653298_father_II_1#measurement:0</t>
  </si>
  <si>
    <t xml:space="preserve">blood acylcarnitine levels</t>
  </si>
  <si>
    <t xml:space="preserve">elevated; HIGH; specimen blood; timing at diagnosis (after onset at 19 years)</t>
  </si>
  <si>
    <t xml:space="preserve">acylcarnitine profile</t>
  </si>
  <si>
    <t xml:space="preserve">PMID_42653298_father_II_1#measurement:1</t>
  </si>
  <si>
    <t xml:space="preserve">C0</t>
  </si>
  <si>
    <t xml:space="preserve">58.71; ref {'low': 19.93, 'high': 52.78, 'text': '19.93–52.78'}; HIGH; specimen blood; timing before riboflavin treatment</t>
  </si>
  <si>
    <t xml:space="preserve">CHEBI:16347 free carnitine</t>
  </si>
  <si>
    <t xml:space="preserve">| r2 | C0 | 58.71 | \ | 54.75 | \ | 41.06 | \ | 19.93–52.78 |</t>
  </si>
  <si>
    <t xml:space="preserve">tab:1 r2c2</t>
  </si>
  <si>
    <t xml:space="preserve">PMID_42653298_father_II_1#measurement:2</t>
  </si>
  <si>
    <t xml:space="preserve">\ (normalization of the parameter); ref {'low': 19.93, 'high': 52.78, 'text': '19.93–52.78'}; NORMAL; specimen blood; timing after riboflavin treatment (B2)</t>
  </si>
  <si>
    <t xml:space="preserve">tab:1 r2c3</t>
  </si>
  <si>
    <t xml:space="preserve">PMID_42653298_father_II_1#measurement:3</t>
  </si>
  <si>
    <t xml:space="preserve">C5DC + C6OH</t>
  </si>
  <si>
    <t xml:space="preserve">0.26; ref {'low': 0.04, 'high': 0.11, 'text': '0.04–0.11'}; HIGH; specimen blood; timing before riboflavin treatment</t>
  </si>
  <si>
    <t xml:space="preserve">glutarylcarnitine</t>
  </si>
  <si>
    <t xml:space="preserve">| r3 | C5DC + C6OH | 0.26 | 0.22 |  |  |  |  | 0.04–0.11 |</t>
  </si>
  <si>
    <t xml:space="preserve">tab:1 r3c2</t>
  </si>
  <si>
    <t xml:space="preserve">PMID_42653298_father_II_1#measurement:4</t>
  </si>
  <si>
    <t xml:space="preserve">0.22; ref {'low': 0.04, 'high': 0.11, 'text': '0.04–0.11'}; HIGH; specimen blood; timing after riboflavin treatment (B2)</t>
  </si>
  <si>
    <t xml:space="preserve">tab:1 r3c3</t>
  </si>
  <si>
    <t xml:space="preserve">PMID_42653298_father_II_1#measurement:5</t>
  </si>
  <si>
    <t xml:space="preserve">C6</t>
  </si>
  <si>
    <t xml:space="preserve">1.13; ref {'low': 0.03, 'high': 0.16, 'text': '0.03–0.16'}; HIGH; specimen blood; timing before riboflavin treatment</t>
  </si>
  <si>
    <t xml:space="preserve">hexanoylcarnitine</t>
  </si>
  <si>
    <t xml:space="preserve">| r4 | C6 | 1.13 | 0.34 |  |  |  |  | 0.03–0.16 |</t>
  </si>
  <si>
    <t xml:space="preserve">tab:1 r4c2</t>
  </si>
  <si>
    <t xml:space="preserve">PMID_42653298_father_II_1#measurement:6</t>
  </si>
  <si>
    <t xml:space="preserve">0.34; ref {'low': 0.03, 'high': 0.16, 'text': '0.03–0.16'}; HIGH; specimen blood; timing after riboflavin treatment (B2)</t>
  </si>
  <si>
    <t xml:space="preserve">tab:1 r4c3</t>
  </si>
  <si>
    <t xml:space="preserve">PMID_42653298_father_II_1#measurement:7</t>
  </si>
  <si>
    <t xml:space="preserve">C6DC</t>
  </si>
  <si>
    <t xml:space="preserve">0.44; ref {'low': 0.03, 'high': 0.13, 'text': '0.03–0.13'}; HIGH; specimen blood; timing before riboflavin treatment</t>
  </si>
  <si>
    <t xml:space="preserve">adipoylcarnitine (C6DC)</t>
  </si>
  <si>
    <t xml:space="preserve">| r5 | C6DC | 0.44 | 0.18 |  |  |  |  | 0.03–0.13 |</t>
  </si>
  <si>
    <t xml:space="preserve">PMID_42653298_father_II_1#measurement:8</t>
  </si>
  <si>
    <t xml:space="preserve">0.18; ref {'low': 0.03, 'high': 0.13, 'text': '0.03–0.13'}; HIGH; specimen blood; timing after riboflavin treatment (B2)</t>
  </si>
  <si>
    <t xml:space="preserve">tab:1 r5c3</t>
  </si>
  <si>
    <t xml:space="preserve">PMID_42653298_father_II_1#measurement:9</t>
  </si>
  <si>
    <t xml:space="preserve">C8</t>
  </si>
  <si>
    <t xml:space="preserve">5.07; ref {'low': 0.05, 'high': 0.46, 'text': '0.05–0.46'}; HIGH; specimen blood; timing before riboflavin treatment</t>
  </si>
  <si>
    <t xml:space="preserve">octanoylcarnitine</t>
  </si>
  <si>
    <t xml:space="preserve">| r6 | C8 | 5.07 | 1.31 | 2.33 | 0.66 | 0.93 | \ | 0.05–0.46 |</t>
  </si>
  <si>
    <t xml:space="preserve">tab:1 r6c2</t>
  </si>
  <si>
    <t xml:space="preserve">PMID_42653298_father_II_1#measurement:10</t>
  </si>
  <si>
    <t xml:space="preserve">1.31; ref {'low': 0.05, 'high': 0.46, 'text': '0.05–0.46'}; HIGH; specimen blood; timing after riboflavin treatment (B2)</t>
  </si>
  <si>
    <t xml:space="preserve">tab:1 r6c3</t>
  </si>
  <si>
    <t xml:space="preserve">PMID_42653298_father_II_1#measurement:11</t>
  </si>
  <si>
    <t xml:space="preserve">C10</t>
  </si>
  <si>
    <t xml:space="preserve">5.19; ref {'low': 0.09, 'high': 0.87, 'text': '0.09–0.87'}; HIGH; specimen blood; timing before riboflavin treatment</t>
  </si>
  <si>
    <t xml:space="preserve">decanoylcarnitine</t>
  </si>
  <si>
    <t xml:space="preserve">| r7 | C10 | 5.19 | 1.63 | 4.11 | 1.11 | 1.45 | \ | 0.09–0.87 |</t>
  </si>
  <si>
    <t xml:space="preserve">tab:1 r7c2</t>
  </si>
  <si>
    <t xml:space="preserve">PMID_42653298_father_II_1#measurement:12</t>
  </si>
  <si>
    <t xml:space="preserve">1.63; ref {'low': 0.09, 'high': 0.87, 'text': '0.09–0.87'}; HIGH; specimen blood; timing after riboflavin treatment (B2)</t>
  </si>
  <si>
    <t xml:space="preserve">tab:1 r7c3</t>
  </si>
  <si>
    <t xml:space="preserve">PMID_42653298_father_II_1#measurement:13</t>
  </si>
  <si>
    <t xml:space="preserve">C10:1</t>
  </si>
  <si>
    <t xml:space="preserve">1.16; ref {'low': 0.04, 'high': 0.37, 'text': '0.04–0.37'}; HIGH; specimen blood; timing before riboflavin treatment</t>
  </si>
  <si>
    <t xml:space="preserve">decenoylcarnitine</t>
  </si>
  <si>
    <t xml:space="preserve">| r8 | C10:1 | 1.16 | \ | 0.88 | \ | 0.51 | \ | 0.04–0.37 |</t>
  </si>
  <si>
    <t xml:space="preserve">tab:1 r8c2</t>
  </si>
  <si>
    <t xml:space="preserve">PMID_42653298_father_II_1#measurement:14</t>
  </si>
  <si>
    <t xml:space="preserve">\ (normalization of the parameter); ref {'low': 0.04, 'high': 0.37, 'text': '0.04–0.37'}; NORMAL; specimen blood; timing after riboflavin treatment (B2)</t>
  </si>
  <si>
    <t xml:space="preserve">tab:1 r8c3</t>
  </si>
  <si>
    <t xml:space="preserve">PMID_42653298_father_II_1#measurement:15</t>
  </si>
  <si>
    <t xml:space="preserve">C12</t>
  </si>
  <si>
    <t xml:space="preserve">0.56; ref {'low': 0.03, 'high': 0.25, 'text': '0.03–0.25'}; HIGH; specimen blood; timing before riboflavin treatment</t>
  </si>
  <si>
    <t xml:space="preserve">dodecanoylcarnitine</t>
  </si>
  <si>
    <t xml:space="preserve">| r9 | C12 | 0.56 | \ | 0.46 | \ | 0.13 | \ | 0.03–0.25 |</t>
  </si>
  <si>
    <t xml:space="preserve">tab:1 r9c2</t>
  </si>
  <si>
    <t xml:space="preserve">PMID_42653298_father_II_1#measurement:16</t>
  </si>
  <si>
    <t xml:space="preserve">\ (normalization of the parameter); ref {'low': 0.03, 'high': 0.25, 'text': '0.03–0.25'}; NORMAL; specimen blood; timing after riboflavin treatment (B2)</t>
  </si>
  <si>
    <t xml:space="preserve">tab:1 r9c3</t>
  </si>
  <si>
    <t xml:space="preserve">PMID_42653298_father_II_1#measurement:17</t>
  </si>
  <si>
    <t xml:space="preserve">C12:1</t>
  </si>
  <si>
    <t xml:space="preserve">0.24; ref {'low': 0.03, 'high': 0.25, 'text': '0.03–0.25'}; NORMAL; specimen blood; timing before riboflavin treatment</t>
  </si>
  <si>
    <t xml:space="preserve">dodecenoylcarnitine (C12:1)</t>
  </si>
  <si>
    <t xml:space="preserve">| r10 | C12:1 | 0.24 | \ | 0.24 | \ |  |  | 0.03–0.25 |</t>
  </si>
  <si>
    <t xml:space="preserve">tab:1 r10c2</t>
  </si>
  <si>
    <t xml:space="preserve">PMID_42653298_father_II_1#measurement:18</t>
  </si>
  <si>
    <t xml:space="preserve">tab:1 r10c3</t>
  </si>
  <si>
    <t xml:space="preserve">PMID_42653298_father_II_1#measurement:19</t>
  </si>
  <si>
    <t xml:space="preserve">C14</t>
  </si>
  <si>
    <t xml:space="preserve">0.13; ref {'low': 0.01, 'high': 0.05, 'text': '0.01–0.05'}; HIGH; specimen blood; timing before riboflavin treatment</t>
  </si>
  <si>
    <t xml:space="preserve">tetradecanoylcarnitine</t>
  </si>
  <si>
    <t xml:space="preserve">| r11 | C14 | 0.13 | \ |  |  |  |  | 0.01–0.05 |</t>
  </si>
  <si>
    <t xml:space="preserve">PMID_42653298_father_II_1#measurement:20</t>
  </si>
  <si>
    <t xml:space="preserve">\ (normalization of the parameter); ref {'low': 0.01, 'high': 0.05, 'text': '0.01–0.05'}; NORMAL; specimen blood; timing after riboflavin treatment (B2)</t>
  </si>
  <si>
    <t xml:space="preserve">tab:1 r11c3</t>
  </si>
  <si>
    <t xml:space="preserve">PMID_42653298_father_II_1#measurement:21</t>
  </si>
  <si>
    <t xml:space="preserve">C14:1</t>
  </si>
  <si>
    <t xml:space="preserve">0.4; ref {'low': 0.03, 'high': 0.23, 'text': '0.03–0.23'}; HIGH; specimen blood; timing before riboflavin treatment</t>
  </si>
  <si>
    <t xml:space="preserve">tetradecenoylcarnitine</t>
  </si>
  <si>
    <t xml:space="preserve">| r12 | C14:1 | 0.4 | 0.06 | 0.3 | \ |  |  | 0.03–0.23 |</t>
  </si>
  <si>
    <t xml:space="preserve">tab:1 r12c2</t>
  </si>
  <si>
    <t xml:space="preserve">PMID_42653298_father_II_1#measurement:22</t>
  </si>
  <si>
    <t xml:space="preserve">0.06; ref {'low': 0.03, 'high': 0.23, 'text': '0.03–0.23'}; NORMAL; specimen blood; timing after riboflavin treatment (B2)</t>
  </si>
  <si>
    <t xml:space="preserve">tab:1 r12c3</t>
  </si>
  <si>
    <t xml:space="preserve">PMID_42653298_father_II_1#measurement:23</t>
  </si>
  <si>
    <t xml:space="preserve">C14:2</t>
  </si>
  <si>
    <t xml:space="preserve">0.11; ref {'low': 0.01, 'high': 0.1, 'text': '0.01–0.10'}; HIGH; specimen blood; timing before riboflavin treatment</t>
  </si>
  <si>
    <t xml:space="preserve">tetradecadienoylcarnitine (C14:2)</t>
  </si>
  <si>
    <t xml:space="preserve">| r13 | C14:2 | 0.11 | \ | 0.12 | \ | 0.06 | \ | 0.01–0.10 |</t>
  </si>
  <si>
    <t xml:space="preserve">tab:1 r13c2</t>
  </si>
  <si>
    <t xml:space="preserve">PMID_42653298_father_II_1#measurement:24</t>
  </si>
  <si>
    <t xml:space="preserve">\ (normalization of the parameter); ref {'low': 0.01, 'high': 0.1, 'text': '0.01–0.10'}; NORMAL; specimen blood; timing after riboflavin treatment (B2)</t>
  </si>
  <si>
    <t xml:space="preserve">tab:1 r13c3</t>
  </si>
  <si>
    <t xml:space="preserve">PMID_42653298_father_II_1#measurement:25</t>
  </si>
  <si>
    <t xml:space="preserve">C16</t>
  </si>
  <si>
    <t xml:space="preserve">0.13; ref {'low': 0.04, 'high': 0.12, 'text': '0.04–0.12'}; HIGH; specimen blood; timing before riboflavin treatment</t>
  </si>
  <si>
    <t xml:space="preserve">palmitoylcarnitine</t>
  </si>
  <si>
    <t xml:space="preserve">| r14 | C16 | 0.13 | \ |  |  |  |  | 0.04–0.12 |</t>
  </si>
  <si>
    <t xml:space="preserve">tab:1 r14c2</t>
  </si>
  <si>
    <t xml:space="preserve">PMID_42653298_father_II_1#measurement:26</t>
  </si>
  <si>
    <t xml:space="preserve">\ (normalization of the parameter); ref {'low': 0.04, 'high': 0.12, 'text': '0.04–0.12'}; NORMAL; specimen blood; timing after riboflavin treatment (B2)</t>
  </si>
  <si>
    <t xml:space="preserve">tab:1 r14c3</t>
  </si>
  <si>
    <t xml:space="preserve">PMID_42653298_father_II_1#measurement:27</t>
  </si>
  <si>
    <t xml:space="preserve">C16:1</t>
  </si>
  <si>
    <t xml:space="preserve">0.05; ref {'low': 0.01, 'high': 0.04, 'text': '0.01–0.04'}; HIGH; specimen blood; timing before riboflavin treatment</t>
  </si>
  <si>
    <t xml:space="preserve">hexadecenoylcarnitine (C16:1)</t>
  </si>
  <si>
    <t xml:space="preserve">| r15 | C16:1 | 0.05 | \ | 0.05 | \ |  |  | 0.01–0.04 |</t>
  </si>
  <si>
    <t xml:space="preserve">PMID_42653298_father_II_1#measurement:28</t>
  </si>
  <si>
    <t xml:space="preserve">\ (normalization of the parameter); ref {'low': 0.01, 'high': 0.04, 'text': '0.01–0.04'}; NORMAL; specimen blood; timing after riboflavin treatment (B2)</t>
  </si>
  <si>
    <t xml:space="preserve">tab:1 r15c3</t>
  </si>
  <si>
    <t xml:space="preserve">PMID_42653298_father_II_1#measurement:29</t>
  </si>
  <si>
    <t xml:space="preserve">ETFDH protein level (immunoblot, immortalized skin fibroblasts HCM1)</t>
  </si>
  <si>
    <t xml:space="preserve">approximately 50% of ETFDH protein levels relative to the healthy control (HC0215); LOW; specimen fibroblasts</t>
  </si>
  <si>
    <t xml:space="preserve">ETFDH protein</t>
  </si>
  <si>
    <t xml:space="preserve">Fibroblasts from the affected father (HCM1) and his two children (HCM2 and HCM3) displayed approximately 50% of ETFDH protein levels (* = p &lt; 0.05; ** = p &lt; 0.01, one-way ANOVA) relative to the healthy control (HC0215) (Figure 3) even under standard riboflavin conditions</t>
  </si>
  <si>
    <t xml:space="preserve">sec:7 ¶1</t>
  </si>
  <si>
    <t xml:space="preserve">PMID_42653298_father_II_1#measurement:30</t>
  </si>
  <si>
    <t xml:space="preserve">ETFDH mRNA expression (RT-qPCR, immortalized skin fibroblasts HCM1)</t>
  </si>
  <si>
    <t xml:space="preserve">similar mRNA expression relative to the healthy control; NORMAL; specimen fibroblasts</t>
  </si>
  <si>
    <t xml:space="preserve">ETFDH mRNA</t>
  </si>
  <si>
    <t xml:space="preserve">relative to the healthy control (HC0215) (Figure 3) even under standard riboflavin conditions, despite a similar mRNA expression (Figure 4A)</t>
  </si>
  <si>
    <t xml:space="preserve">PMID_42653298_father_II_1#measurement:31</t>
  </si>
  <si>
    <t xml:space="preserve">ETFDH mRNA expression under reduced riboflavin (RT-qPCR, fibroblasts HCM1)</t>
  </si>
  <si>
    <t xml:space="preserve">no statistically significant differences at any tested riboflavin concentration compared with standard culture conditions; NORMAL; specimen fibroblasts</t>
  </si>
  <si>
    <t xml:space="preserve">No statistically significant differences in ETFDH mRNA levels were observed at any of the tested riboflavin concentrations within each cell line compared with standard culture conditions (Figure 4A).</t>
  </si>
  <si>
    <t xml:space="preserve">PMID_42653298_father_II_1#measurement:32</t>
  </si>
  <si>
    <t xml:space="preserve">ETFDH mutant vs wild-type transcript allelic expression (digital PCR, fibroblasts HCM1)</t>
  </si>
  <si>
    <t xml:space="preserve">mutant and wild-type transcripts each expressed at approximately 50%; NORMAL; specimen fibroblasts</t>
  </si>
  <si>
    <t xml:space="preserve">ETFDH c.1798A&gt;C allele-specific transcript fraction</t>
  </si>
  <si>
    <t xml:space="preserve">digital PCR analysis further quantified the allelic expression, showing that the mutant and wild-type transcripts in fibroblasts from the patients were each expressed at approximately 50%, indicating no allele-specific transcript imbalance</t>
  </si>
  <si>
    <t xml:space="preserve">sec:5 ¶2</t>
  </si>
  <si>
    <t xml:space="preserve">PMID_42653298_father_II_1#measurement:33</t>
  </si>
  <si>
    <t xml:space="preserve">oxygen consumption rate with octanoylcarnitine substrate (high-resolution respirometry, fibroblasts HCM1)</t>
  </si>
  <si>
    <t xml:space="preserve">lower at 5 nM riboflavin than at the standard 1 µM riboflavin concentration (not in controls); LOW; specimen fibroblasts</t>
  </si>
  <si>
    <t xml:space="preserve">fatty acid oxidation-supported oxygen consumption rate</t>
  </si>
  <si>
    <t xml:space="preserve">in low riboflavin concentrations (5 nM), the oxygen consumption was lower in respect to the standard riboflavine concentration (1 µM) in all the patients cell lines (HCM1, HCM2, and HCM3) but not in controls (HC0125)</t>
  </si>
  <si>
    <t xml:space="preserve">sec:9 ¶1</t>
  </si>
  <si>
    <t xml:space="preserve">PMID_42653298_father_II_1#measurement:34</t>
  </si>
  <si>
    <t xml:space="preserve">mitochondrial membrane potential (JC-1, fibroblasts HCM1)</t>
  </si>
  <si>
    <t xml:space="preserve">no significant differences between patient fibroblasts and controls; NORMAL; specimen fibroblasts</t>
  </si>
  <si>
    <t xml:space="preserve">mitochondrial membrane potential</t>
  </si>
  <si>
    <t xml:space="preserve">we did not observe significant differences in the mitochondrial membrane potential (Δψ) between patient fibroblasts and controls, both in the basal or under reduced riboflavin condition (Supplementary Figure S6).</t>
  </si>
  <si>
    <t xml:space="preserve">sec:10 ¶6</t>
  </si>
  <si>
    <t xml:space="preserve">PMID_42653298_father_II_1#measurement:35</t>
  </si>
  <si>
    <t xml:space="preserve">ETFDH protein level under 5 nM riboflavin (immunoblot, fibroblasts HCM1)</t>
  </si>
  <si>
    <t xml:space="preserve">significantly lower in cells treated with 5 nM riboflavin compared with standard medium; LOW; specimen fibroblasts</t>
  </si>
  <si>
    <t xml:space="preserve">In contrast, in HCM1 fibroblasts, the ETFDH protein expression was significantly lower in cells treated with 5 nM riboflavin compared with standard medium</t>
  </si>
  <si>
    <t xml:space="preserve">PMID_42653298_father_II_1#measurement:36</t>
  </si>
  <si>
    <t xml:space="preserve">mitochondrial content after riboflavin withdrawal (mitoRED staining, fibroblasts HCM1)</t>
  </si>
  <si>
    <t xml:space="preserve">significantly increased mitochondrial content (only HCM1); HIGH; specimen fibroblasts</t>
  </si>
  <si>
    <t xml:space="preserve">mitochondrial mass/number</t>
  </si>
  <si>
    <t xml:space="preserve">No significant changes in riboflavin-supplemented cell lines were observed, while, after riboflavin withdrawal, only HCM1 displays a significantly increased mitochondrial content.</t>
  </si>
  <si>
    <t xml:space="preserve">sec:7 ¶2</t>
  </si>
  <si>
    <t xml:space="preserve">PMID_42653298_father_II_1#measurement:37</t>
  </si>
  <si>
    <t xml:space="preserve">ETFDH-complex III interaction, PLA dots per nucleus (proximity ligation assay, fibroblasts HCM1)</t>
  </si>
  <si>
    <t xml:space="preserve">significant reduction in the number of PLA dots per nucleus under riboflavin-depleted conditions; LOW; specimen fibroblasts</t>
  </si>
  <si>
    <t xml:space="preserve">ETFDH-complex III proximity ligation signal</t>
  </si>
  <si>
    <t xml:space="preserve">A quantitative analysis of the PLA signal revealed a significant reduction in the number of PLA dots per nucleus in HCM1 and HCM3 fibroblasts under riboflavin-depleted conditions compared to riboflavin-supplemented cells</t>
  </si>
  <si>
    <t xml:space="preserve">sec:8 ¶2</t>
  </si>
  <si>
    <t xml:space="preserve">PMID_42653298_father_II_1#measurement:38</t>
  </si>
  <si>
    <t xml:space="preserve">intracellular reactive oxygen species (CellROX, fibroblasts HCM1)</t>
  </si>
  <si>
    <t xml:space="preserve">ROS levels changed in the father's HCM1 cell line (direction not stated); unchanged in other lines; ABNORMAL; specimen fibroblasts</t>
  </si>
  <si>
    <t xml:space="preserve">reactive oxygen species</t>
  </si>
  <si>
    <t xml:space="preserve">Indeed, ROS levels also did not show any changes (except for the father’s HCM1 cell line) (Supplementary Figure S7)</t>
  </si>
  <si>
    <t xml:space="preserve">PMID_42653298_father_II_1#genetic_finding:0</t>
  </si>
  <si>
    <t xml:space="preserve">ETFDH c.1798A&gt;C p.(Asn600His)</t>
  </si>
  <si>
    <t xml:space="preserve">HETEROZYGOUS; paternal; likely_pathogenic; WES; whole genome analysis; ETFDH amplicon NGS on whole-blood DNA; Sanger sequencing of fibroblast cDNA; digital PCR; transcript NM_004453.4; novel</t>
  </si>
  <si>
    <t xml:space="preserve">All family members carried underwent Whole Exome Analysis and the only variant found linked to the phenotype is the ETFDH variant (NM_004453.4) c.1798A&gt;C in heterozygosity.</t>
  </si>
  <si>
    <t xml:space="preserve">PMID_42653298_father_II_1#diagnosis:0</t>
  </si>
  <si>
    <t xml:space="preserve">Multiple acyl-CoA dehydrogenase deficiency (MADD)</t>
  </si>
  <si>
    <t xml:space="preserve">FINAL; MOLECULAR; symptomatic; age at dx subsequently after onset at 19 years of age (exact age not stated)</t>
  </si>
  <si>
    <t xml:space="preserve">MONDO:0009282 multiple acyl-CoA dehydrogenase deficiency</t>
  </si>
  <si>
    <t xml:space="preserve">PMID_42653298_father_II_1#treatment:0</t>
  </si>
  <si>
    <t xml:space="preserve">riboflavin therapy 150 mg/day</t>
  </si>
  <si>
    <t xml:space="preserve">cofactor_vitamin; riboflavin; response: improved; symptoms receded with riboflavin therapy; a first treatment with riboflavin (B2) did not completely normalize the acylcarnitine parameters in the father (M1)</t>
  </si>
  <si>
    <t xml:space="preserve">In both patients, symptoms receded with riboflavin therapy (150 mg/day).</t>
  </si>
  <si>
    <t xml:space="preserve">PMID_42653298_father_II_1#outcome:0</t>
  </si>
  <si>
    <t xml:space="preserve">Symptoms receded on riboflavin therapy (150 mg/day); acylcarnitine profile improved but not fully normalized after a first riboflavin treatment; alive at 45 years at study enrolment.</t>
  </si>
  <si>
    <t xml:space="preserve">It is possible to observe that a first treatment with riboflavin (B2) does not completely normalize parameters in father (M1) and older sibling (M2), while, in younger sibling (M3), it restores normality.</t>
  </si>
  <si>
    <t xml:space="preserve">tab:1</t>
  </si>
  <si>
    <t xml:space="preserve">PMID_42309774_the_patient#subject:0</t>
  </si>
  <si>
    <t xml:space="preserve">PMID_42309774_the_patient</t>
  </si>
  <si>
    <t xml:space="preserve">42309774</t>
  </si>
  <si>
    <t xml:space="preserve">the patient</t>
  </si>
  <si>
    <t xml:space="preserve">PMID_42309774_the_patient#subject:1</t>
  </si>
  <si>
    <t xml:space="preserve">PMID_42309774_the_patient#subject:2</t>
  </si>
  <si>
    <t xml:space="preserve">Japan</t>
  </si>
  <si>
    <t xml:space="preserve">PMID_42309774_the_patient#subject:3</t>
  </si>
  <si>
    <t xml:space="preserve">infancy</t>
  </si>
  <si>
    <t xml:space="preserve">The patient had been diagnosed with primary chylomicronemia at a university hospital during infancy and was followed until preschool age, during which she was managed solely with dietary fat restriction.</t>
  </si>
  <si>
    <t xml:space="preserve">sec:5 ¶1</t>
  </si>
  <si>
    <t xml:space="preserve">PMID_42309774_the_patient#subject:4</t>
  </si>
  <si>
    <t xml:space="preserve">P47Y / 47 years of age</t>
  </si>
  <si>
    <t xml:space="preserve">At 47 years of age, she was emergently transported to the Emergency Department of Rinku General Medical Center with severe epigastric pain.</t>
  </si>
  <si>
    <t xml:space="preserve">PMID_42309774_the_patient#subject:5</t>
  </si>
  <si>
    <t xml:space="preserve">follow-up after discharge from the index hospitalization at 47 years; duration not stated</t>
  </si>
  <si>
    <t xml:space="preserve">During follow-up, serum TG levels remained stable at approximately 214–489 mg/dL, with no recurrence of pancreatitis.</t>
  </si>
  <si>
    <t xml:space="preserve">sec:6 ¶7</t>
  </si>
  <si>
    <t xml:space="preserve">PMID_42309774_the_patient#family:0</t>
  </si>
  <si>
    <t xml:space="preserve">yes</t>
  </si>
  <si>
    <t xml:space="preserve">PMID_42309774_the_patient#family:1</t>
  </si>
  <si>
    <t xml:space="preserve">Younger brother had marked hypertriglyceridemia with recurrent episodes of acute pancreatitis (not tested biochemically or genetically). Parents, younger sister, two daughters and the son of the hypertriglyceridemic brother had no history of hypertriglyceridemia or pancreatitis; the two daughters (never pregnant) had normal TG levels. No family history of diabetes mellitus. The patient reported a history of consanguineous marriage in her family, details unclear.</t>
  </si>
  <si>
    <t xml:space="preserve">PMID_42309774_the_patient#phenotype:0</t>
  </si>
  <si>
    <t xml:space="preserve">Hypertriglyceridemia</t>
  </si>
  <si>
    <t xml:space="preserve">onset infancy; severe; lifelong; exacerbated during pregnancies (pancreatitis at 23 years; TG &gt;6,000 mg/dL at 29 years)</t>
  </si>
  <si>
    <t xml:space="preserve">HP:0002155 Hypertriglyceridemia</t>
  </si>
  <si>
    <t xml:space="preserve">Laboratory evaluation revealed marked hypertriglyceridemia (1,262 mg/dL) with a type V hyperlipoproteinemia pattern.</t>
  </si>
  <si>
    <t xml:space="preserve">PMID_42309774_the_patient#phenotype:1</t>
  </si>
  <si>
    <t xml:space="preserve">Chylomicronemia</t>
  </si>
  <si>
    <t xml:space="preserve">onset infancy; severe; primary; lifelong</t>
  </si>
  <si>
    <t xml:space="preserve">PMID_42309774_the_patient#phenotype:2</t>
  </si>
  <si>
    <t xml:space="preserve">Lipemic serum with creamy supernatant (chylomicron) layer after standing</t>
  </si>
  <si>
    <t xml:space="preserve">onset P47Y / 47 years of age</t>
  </si>
  <si>
    <t xml:space="preserve">After standing at 4℃ for 24 hours, the serum separated into a creamy supernatant layer and a turbid infranatant layer ( Fig.2A ) .</t>
  </si>
  <si>
    <t xml:space="preserve">sec:6 ¶3</t>
  </si>
  <si>
    <t xml:space="preserve">PMID_42309774_the_patient#phenotype:3</t>
  </si>
  <si>
    <t xml:space="preserve">Type V hyperlipoproteinemia lipoprotein pattern</t>
  </si>
  <si>
    <t xml:space="preserve">Polyacrylamide gel (PAG) disc electrophoresis of serum lipoproteins demonstrated a marked increase in chylomicrons and an elevated VLDL fraction, consistent with a type V hyperlipoproteinemia phenotype ( Fig.2B, C ) .</t>
  </si>
  <si>
    <t xml:space="preserve">PMID_42309774_the_patient#phenotype:4</t>
  </si>
  <si>
    <t xml:space="preserve">Acute pancreatitis</t>
  </si>
  <si>
    <t xml:space="preserve">onset P23Y / 23 years of age, during her first pregnancy; recurrent: first episode during first pregnancy at 23 years, second episode at 47 years (hypertriglyceridemia-induced)</t>
  </si>
  <si>
    <t xml:space="preserve">HP:0001735 Acute pancreatitis</t>
  </si>
  <si>
    <t xml:space="preserve">At 23 years of age, during her first pregnancy, she developed severe hypertriglyceridemia complicated by acute pancreatitis, requiring hospitalization.</t>
  </si>
  <si>
    <t xml:space="preserve">PMID_42309774_the_patient#phenotype:5</t>
  </si>
  <si>
    <t xml:space="preserve">Epigastric pain</t>
  </si>
  <si>
    <t xml:space="preserve">onset P47Y / 47 years of age; severe</t>
  </si>
  <si>
    <t xml:space="preserve">HP:0410019 Epigastric pain</t>
  </si>
  <si>
    <t xml:space="preserve">PMID_42309774_the_patient#phenotype:6</t>
  </si>
  <si>
    <t xml:space="preserve">Epigastric tenderness</t>
  </si>
  <si>
    <t xml:space="preserve">Abdominal examination revealed epigastric tenderness without rebound tenderness. No hepatosplenomegaly was detected. A single eruptive xanthoma was observed on the anterior tibial region. No Achilles tendon thickening was present.</t>
  </si>
  <si>
    <t xml:space="preserve">sec:5 ¶6</t>
  </si>
  <si>
    <t xml:space="preserve">PMID_42309774_the_patient#phenotype:7</t>
  </si>
  <si>
    <t xml:space="preserve">ABSENT: Rebound tenderness</t>
  </si>
  <si>
    <t xml:space="preserve">PMID_42309774_the_patient#phenotype:8</t>
  </si>
  <si>
    <t xml:space="preserve">Eruptive xanthoma</t>
  </si>
  <si>
    <t xml:space="preserve">onset P47Y / 47 years of age; single lesion, anterior tibial region</t>
  </si>
  <si>
    <t xml:space="preserve">PMID_42309774_the_patient#phenotype:9</t>
  </si>
  <si>
    <t xml:space="preserve">ABSENT: Achilles tendon thickening</t>
  </si>
  <si>
    <t xml:space="preserve">PMID_42309774_the_patient#phenotype:10</t>
  </si>
  <si>
    <t xml:space="preserve">ABSENT: Hepatosplenomegaly</t>
  </si>
  <si>
    <t xml:space="preserve">onset P47Y / 47 years of age; not detected on physical examination (but splenomegaly seen on CT)</t>
  </si>
  <si>
    <t xml:space="preserve">HP:0001433 Hepatosplenomegaly</t>
  </si>
  <si>
    <t xml:space="preserve">PMID_42309774_the_patient#phenotype:11</t>
  </si>
  <si>
    <t xml:space="preserve">ABSENT: Thyroid enlargement</t>
  </si>
  <si>
    <t xml:space="preserve">HP:0000853 Goiter</t>
  </si>
  <si>
    <t xml:space="preserve">No thyroid enlargement was noted.</t>
  </si>
  <si>
    <t xml:space="preserve">PMID_42309774_the_patient#phenotype:12</t>
  </si>
  <si>
    <t xml:space="preserve">ABSENT: Obesity</t>
  </si>
  <si>
    <t xml:space="preserve">HP:0001513 Obesity</t>
  </si>
  <si>
    <t xml:space="preserve">On physical examination, she was not obese (height, 158 cm; weight, 53 kg; body mass index, 21.2 kg/m²).</t>
  </si>
  <si>
    <t xml:space="preserve">PMID_42309774_the_patient#phenotype:13</t>
  </si>
  <si>
    <t xml:space="preserve">Splenomegaly</t>
  </si>
  <si>
    <t xml:space="preserve">onset P47Y / 47 years of age; on contrast-enhanced abdominal CT</t>
  </si>
  <si>
    <t xml:space="preserve">HP:0001744 Splenomegaly</t>
  </si>
  <si>
    <t xml:space="preserve">Splenomegaly was also observed ( Fig.1 ) .</t>
  </si>
  <si>
    <t xml:space="preserve">sec:6 ¶2</t>
  </si>
  <si>
    <t xml:space="preserve">PMID_42309774_the_patient#phenotype:14</t>
  </si>
  <si>
    <t xml:space="preserve">Pancreatic enlargement</t>
  </si>
  <si>
    <t xml:space="preserve">Contrast-enhanced abdominal computed tomography (CT) revealed pancreatic enlargement with increased peripancreatic fat attenuation and mild dilation of the main pancreatic duct, findings consistent with acute pancreatitis.</t>
  </si>
  <si>
    <t xml:space="preserve">PMID_42309774_the_patient#phenotype:15</t>
  </si>
  <si>
    <t xml:space="preserve">Increased peripancreatic fat attenuation (fat stranding)</t>
  </si>
  <si>
    <t xml:space="preserve">PMID_42309774_the_patient#phenotype:16</t>
  </si>
  <si>
    <t xml:space="preserve">Dilation of the main pancreatic duct</t>
  </si>
  <si>
    <t xml:space="preserve">onset P47Y / 47 years of age; mild; on contrast-enhanced abdominal CT</t>
  </si>
  <si>
    <t xml:space="preserve">PMID_42309774_the_patient#phenotype:17</t>
  </si>
  <si>
    <t xml:space="preserve">Elevated pancreatic amylase</t>
  </si>
  <si>
    <t xml:space="preserve">onset P47Y / 47 years of age; marked</t>
  </si>
  <si>
    <t xml:space="preserve">Based on markedly elevated pancreatic amylase levels, she was diagnosed with acute pancreatitis and admitted to the Department of Gastroenterology.</t>
  </si>
  <si>
    <t xml:space="preserve">PMID_42309774_the_patient#phenotype:18</t>
  </si>
  <si>
    <t xml:space="preserve">Leukocytosis</t>
  </si>
  <si>
    <t xml:space="preserve">onset P47Y / 47 years of age; slight</t>
  </si>
  <si>
    <t xml:space="preserve">HP:0001974 Increased total leukocyte count</t>
  </si>
  <si>
    <t xml:space="preserve">which demonstrated markedly elevated pancreatic amylase levels (2,905 U/L; reference range, 16–52 U/L), along with a slight increase in white blood cell count (9,510/µL; reference range, 3,100–8,400/µL) and C-reactive protein (CRP) (1.76 mg/dL; reference range, 0.00–0.30 mg/dL).</t>
  </si>
  <si>
    <t xml:space="preserve">sec:6 ¶1</t>
  </si>
  <si>
    <t xml:space="preserve">PMID_42309774_the_patient#phenotype:19</t>
  </si>
  <si>
    <t xml:space="preserve">Elevated circulating C-reactive protein concentration</t>
  </si>
  <si>
    <t xml:space="preserve">HP:0011227 Elevated circulating C-reactive protein concentration</t>
  </si>
  <si>
    <t xml:space="preserve">PMID_42309774_the_patient#phenotype:20</t>
  </si>
  <si>
    <t xml:space="preserve">Decreased LDL cholesterol concentration</t>
  </si>
  <si>
    <t xml:space="preserve">HP:0003563 Decreased circulating LDL-C concentration</t>
  </si>
  <si>
    <t xml:space="preserve">Lipid analysis revealed marked hypertriglyceridemia (TG 1,262 mg/dL), while LDL-C and HDL-C levels were markedly reduced.</t>
  </si>
  <si>
    <t xml:space="preserve">PMID_42309774_the_patient#phenotype:21</t>
  </si>
  <si>
    <t xml:space="preserve">Decreased HDL cholesterol concentration</t>
  </si>
  <si>
    <t xml:space="preserve">HP:0003233 Decreased circulating HDL-C concentration</t>
  </si>
  <si>
    <t xml:space="preserve">PMID_42309774_the_patient#phenotype:22</t>
  </si>
  <si>
    <t xml:space="preserve">ABSENT: Diabetes mellitus</t>
  </si>
  <si>
    <t xml:space="preserve">HP:0000819 Diabetes mellitus</t>
  </si>
  <si>
    <t xml:space="preserve">She had no history of diabetes mellitus or thyroid disease.</t>
  </si>
  <si>
    <t xml:space="preserve">sec:5 ¶4</t>
  </si>
  <si>
    <t xml:space="preserve">PMID_42309774_the_patient#phenotype:23</t>
  </si>
  <si>
    <t xml:space="preserve">ABSENT: Thyroid disease</t>
  </si>
  <si>
    <t xml:space="preserve">HP:0000820 Abnormality of the thyroid gland</t>
  </si>
  <si>
    <t xml:space="preserve">PMID_42309774_the_patient#phenotype:24</t>
  </si>
  <si>
    <t xml:space="preserve">ABSENT: Atherosclerosis</t>
  </si>
  <si>
    <t xml:space="preserve">HP:0002621 Atherosclerosis</t>
  </si>
  <si>
    <t xml:space="preserve">The ankle–brachial index (ABI) and cardio–ankle vascular index (CAVI) showed no evidence of atherosclerosis.</t>
  </si>
  <si>
    <t xml:space="preserve">sec:6 ¶5</t>
  </si>
  <si>
    <t xml:space="preserve">PMID_42309774_the_patient#phenotype:25</t>
  </si>
  <si>
    <t xml:space="preserve">ABSENT: Ischemic changes on electrocardiography</t>
  </si>
  <si>
    <t xml:space="preserve">Resting electrocardiography demonstrated normal sinus rhythm without ischemic changes.</t>
  </si>
  <si>
    <t xml:space="preserve">PMID_42309774_the_patient#phenotype:26</t>
  </si>
  <si>
    <t xml:space="preserve">Migraine</t>
  </si>
  <si>
    <t xml:space="preserve">HP:0002076 Migraine</t>
  </si>
  <si>
    <t xml:space="preserve">She was not receiving any lipid-lowering therapy and was taking medication only intermittently for migraine.</t>
  </si>
  <si>
    <t xml:space="preserve">PMID_42309774_the_patient#measurement:0</t>
  </si>
  <si>
    <t xml:space="preserve">TG (serum triglyceride)</t>
  </si>
  <si>
    <t xml:space="preserve">1,262; ref {'low': 50, 'high': 149, 'text': '50~149'}; HIGH; specimen serum; timing on admission (Table 1); age P47Y / 47 years of age</t>
  </si>
  <si>
    <t xml:space="preserve">triglyceride</t>
  </si>
  <si>
    <t xml:space="preserve">TG | 1,262 | mg/dL | 50~149</t>
  </si>
  <si>
    <t xml:space="preserve">tab:1 r4c4</t>
  </si>
  <si>
    <t xml:space="preserve">PMID_42309774_the_patient#measurement:1</t>
  </si>
  <si>
    <t xml:space="preserve">LDL-C</t>
  </si>
  <si>
    <r>
      <rPr>
        <sz val="11"/>
        <rFont val="Arial"/>
        <family val="0"/>
        <charset val="1"/>
      </rPr>
      <t xml:space="preserve">15 mg/dL; ref {'low': None, 'high': 120, 'text': '</t>
    </r>
    <r>
      <rPr>
        <sz val="11"/>
        <rFont val="Noto Sans CJK SC"/>
        <family val="2"/>
      </rPr>
      <t xml:space="preserve">＜</t>
    </r>
    <r>
      <rPr>
        <sz val="11"/>
        <rFont val="Arial"/>
        <family val="0"/>
        <charset val="1"/>
      </rPr>
      <t xml:space="preserve">120'}; LOW; specimen serum; timing on admission (Table 1); age P47Y / 47 years of age</t>
    </r>
  </si>
  <si>
    <t xml:space="preserve">LDL cholesterol</t>
  </si>
  <si>
    <r>
      <rPr>
        <sz val="11"/>
        <rFont val="Arial"/>
        <family val="0"/>
        <charset val="1"/>
      </rPr>
      <t xml:space="preserve">LDL-C | 15 | mg/dL | </t>
    </r>
    <r>
      <rPr>
        <sz val="11"/>
        <rFont val="Noto Sans CJK SC"/>
        <family val="2"/>
      </rPr>
      <t xml:space="preserve">＜</t>
    </r>
    <r>
      <rPr>
        <sz val="11"/>
        <rFont val="Arial"/>
        <family val="0"/>
        <charset val="1"/>
      </rPr>
      <t xml:space="preserve">120</t>
    </r>
  </si>
  <si>
    <t xml:space="preserve">tab:1 r2c4</t>
  </si>
  <si>
    <t xml:space="preserve">PMID_42309774_the_patient#measurement:2</t>
  </si>
  <si>
    <t xml:space="preserve">HDL-C</t>
  </si>
  <si>
    <t xml:space="preserve">13 mg/dL; ref {'low': 40, 'high': None, 'text': '≧40'}; LOW; specimen serum; timing on admission (Table 1); age P47Y / 47 years of age</t>
  </si>
  <si>
    <t xml:space="preserve">HDL cholesterol</t>
  </si>
  <si>
    <t xml:space="preserve">HDL-C | 13 | mg/dL | ≧40</t>
  </si>
  <si>
    <t xml:space="preserve">tab:1 r3c4</t>
  </si>
  <si>
    <t xml:space="preserve">PMID_42309774_the_patient#measurement:3</t>
  </si>
  <si>
    <t xml:space="preserve">RemL-C (remnant lipoprotein cholesterol)</t>
  </si>
  <si>
    <t xml:space="preserve">43.3 mg/dL; ref {'low': 0, 'high': 7.5, 'text': '0~7.5'}; HIGH; specimen serum; timing on admission (Table 1); age P47Y / 47 years of age</t>
  </si>
  <si>
    <t xml:space="preserve">remnant lipoprotein cholesterol</t>
  </si>
  <si>
    <t xml:space="preserve">RemL-C | 43.3 | mg/dL | 0~7.5</t>
  </si>
  <si>
    <t xml:space="preserve">tab:1 r5c4</t>
  </si>
  <si>
    <t xml:space="preserve">PMID_42309774_the_patient#measurement:4</t>
  </si>
  <si>
    <t xml:space="preserve">apoA-I (A-Ⅰ)</t>
  </si>
  <si>
    <t xml:space="preserve">74 mg/dL; ref {'low': 65, 'high': 126, 'text': '65~126'}; NORMAL; specimen serum; timing on admission (Table 1); age P47Y / 47 years of age</t>
  </si>
  <si>
    <t xml:space="preserve">apolipoprotein A-I</t>
  </si>
  <si>
    <t xml:space="preserve">A-Ⅰ | 74 | mg/dL | 65~126</t>
  </si>
  <si>
    <t xml:space="preserve">tab:1 r8c4</t>
  </si>
  <si>
    <t xml:space="preserve">PMID_42309774_the_patient#measurement:5</t>
  </si>
  <si>
    <t xml:space="preserve">apoA-II (A-Ⅱ)</t>
  </si>
  <si>
    <t xml:space="preserve">16.5 mg/dL; ref {'low': 24.6, 'high': 33.3, 'text': '24.6~33.3'}; LOW; specimen serum; timing on admission (Table 1); age P47Y / 47 years of age</t>
  </si>
  <si>
    <t xml:space="preserve">apolipoprotein A-II</t>
  </si>
  <si>
    <t xml:space="preserve">A-Ⅱ | 16.5 | mg/dL | 24.6~33.3</t>
  </si>
  <si>
    <t xml:space="preserve">tab:1 r9c4</t>
  </si>
  <si>
    <t xml:space="preserve">PMID_42309774_the_patient#measurement:6</t>
  </si>
  <si>
    <t xml:space="preserve">apoA-V</t>
  </si>
  <si>
    <t xml:space="preserve">381.8 ng/mL; ref {'low': 104, 'high': 254, 'text': '104–254 ng/mL'}; HIGH; specimen serum; timing on admission (Table 1); age P47Y / 47 years of age</t>
  </si>
  <si>
    <t xml:space="preserve">apolipoprotein A-V</t>
  </si>
  <si>
    <t xml:space="preserve">Apolipoprotein analysis showed apoA-V levels of 381.8 ng/mL (reference range, 104–254 ng/mL) and apoC-II levels of 13.7 mg/dL (reference range, 1.5–3.8 mg/dL), with no evidence of deficiency.</t>
  </si>
  <si>
    <t xml:space="preserve">sec:6 ¶4</t>
  </si>
  <si>
    <t xml:space="preserve">PMID_42309774_the_patient#measurement:7</t>
  </si>
  <si>
    <t xml:space="preserve">apoA-V (A-Ⅴ) [Table 1 unit as printed]</t>
  </si>
  <si>
    <t xml:space="preserve">381.8 ng/dL; ref {'low': 104, 'high': 254, 'text': '104~254'}; HIGH; specimen serum; timing on admission (Table 1); age P47Y / 47 years of age</t>
  </si>
  <si>
    <t xml:space="preserve">A-Ⅴ | 381.8 | ng/dL | 104~254</t>
  </si>
  <si>
    <t xml:space="preserve">tab:1 r10c4</t>
  </si>
  <si>
    <t xml:space="preserve">PMID_42309774_the_patient#measurement:8</t>
  </si>
  <si>
    <t xml:space="preserve">apoB (B)</t>
  </si>
  <si>
    <t xml:space="preserve">55 mg/dL; ref {'low': 66, 'high': 101, 'text': '66~101'}; LOW; specimen serum; timing on admission (Table 1); age P47Y / 47 years of age</t>
  </si>
  <si>
    <t xml:space="preserve">apolipoprotein B</t>
  </si>
  <si>
    <t xml:space="preserve">B | 55 | mg/dL | 66~101</t>
  </si>
  <si>
    <t xml:space="preserve">tab:1 r11c4</t>
  </si>
  <si>
    <t xml:space="preserve">PMID_42309774_the_patient#measurement:9</t>
  </si>
  <si>
    <t xml:space="preserve">apoC-II (C-Ⅱ)</t>
  </si>
  <si>
    <t xml:space="preserve">13.7 mg/dL; ref {'low': 1.5, 'high': 3.8, 'text': '1.5–3.8 mg/dL'}; HIGH; specimen serum; timing on admission (Table 1); age P47Y / 47 years of age</t>
  </si>
  <si>
    <t xml:space="preserve">apolipoprotein C-II</t>
  </si>
  <si>
    <t xml:space="preserve">PMID_42309774_the_patient#measurement:10</t>
  </si>
  <si>
    <t xml:space="preserve">apoC-III (C-Ⅲ)</t>
  </si>
  <si>
    <t xml:space="preserve">15.2 mg/dL; ref {'low': 5.4, 'high': 9, 'text': '5.4~9'}; HIGH; specimen serum; timing on admission (Table 1); age P47Y / 47 years of age</t>
  </si>
  <si>
    <t xml:space="preserve">apolipoprotein C-III</t>
  </si>
  <si>
    <t xml:space="preserve">C-Ⅲ | 15.2 | mg/dL | 5.4~9</t>
  </si>
  <si>
    <t xml:space="preserve">tab:1 r13c4</t>
  </si>
  <si>
    <t xml:space="preserve">PMID_42309774_the_patient#measurement:11</t>
  </si>
  <si>
    <t xml:space="preserve">apoE (E)</t>
  </si>
  <si>
    <t xml:space="preserve">8.1 mg/dL; ref {'low': 2.8, 'high': 4.6, 'text': '2.8~4.6'}; HIGH; specimen serum; timing on admission (Table 1); age P47Y / 47 years of age</t>
  </si>
  <si>
    <t xml:space="preserve">apolipoprotein E</t>
  </si>
  <si>
    <t xml:space="preserve">E | 8.1 | mg/dL | 2.8~4.6</t>
  </si>
  <si>
    <t xml:space="preserve">tab:1 r14c4</t>
  </si>
  <si>
    <t xml:space="preserve">PMID_42309774_the_patient#measurement:12</t>
  </si>
  <si>
    <t xml:space="preserve">Preheparin LPL mass</t>
  </si>
  <si>
    <t xml:space="preserve">17 ng/mL; ref {'low': 45, 'high': 63, 'text': '45–63 ng/mL'}; LOW; specimen plasma; timing on admission (Table 1); age P47Y / 47 years of age</t>
  </si>
  <si>
    <t xml:space="preserve">lipoprotein lipase mass</t>
  </si>
  <si>
    <t xml:space="preserve">preheparin LPL mass was measured without heparin injection and was markedly reduced at 17 ng/mL (reference range, 45–63 ng/mL), suggesting impaired LPL activity. The serum GPIHBP1 level was below the limit of detection.</t>
  </si>
  <si>
    <t xml:space="preserve">PMID_42309774_the_patient#measurement:13</t>
  </si>
  <si>
    <t xml:space="preserve">GPIHBP1</t>
  </si>
  <si>
    <r>
      <rPr>
        <sz val="11"/>
        <rFont val="Noto Sans CJK SC"/>
        <family val="2"/>
      </rPr>
      <t xml:space="preserve">＜</t>
    </r>
    <r>
      <rPr>
        <sz val="11"/>
        <rFont val="Arial"/>
        <family val="0"/>
        <charset val="1"/>
      </rPr>
      <t xml:space="preserve">1.98 (below the limit of detection); ref {'low': 740, 'high': 1014, 'text': '740~1,014'}; LOW; specimen serum; timing on admission (Table 1); age P47Y / 47 years of age</t>
    </r>
  </si>
  <si>
    <t xml:space="preserve">glycosylphosphatidylinositol-anchored HDL-binding protein 1</t>
  </si>
  <si>
    <r>
      <rPr>
        <sz val="11"/>
        <rFont val="Noto Sans CJK SC"/>
        <family val="2"/>
      </rPr>
      <t xml:space="preserve">＜</t>
    </r>
    <r>
      <rPr>
        <sz val="11"/>
        <rFont val="Arial"/>
        <family val="0"/>
        <charset val="1"/>
      </rPr>
      <t xml:space="preserve">1.98 | pg/mL | 740~1,014</t>
    </r>
  </si>
  <si>
    <t xml:space="preserve">tab:1 r19c5</t>
  </si>
  <si>
    <t xml:space="preserve">PMID_42309774_the_patient#measurement:14</t>
  </si>
  <si>
    <t xml:space="preserve">Chylomicrons (PAG disc electrophoresis)</t>
  </si>
  <si>
    <t xml:space="preserve">marked increase; HIGH; specimen serum; timing on admission (Table 1); age P47Y / 47 years of age</t>
  </si>
  <si>
    <t xml:space="preserve">chylomicrons</t>
  </si>
  <si>
    <t xml:space="preserve">PMID_42309774_the_patient#measurement:15</t>
  </si>
  <si>
    <t xml:space="preserve">VLDL fraction (PAG disc electrophoresis)</t>
  </si>
  <si>
    <t xml:space="preserve">elevated / marked increase; HIGH; specimen serum; timing on admission (Table 1); age P47Y / 47 years of age</t>
  </si>
  <si>
    <t xml:space="preserve">VLDL</t>
  </si>
  <si>
    <t xml:space="preserve">PMID_42309774_the_patient#measurement:16</t>
  </si>
  <si>
    <t xml:space="preserve">IDL fraction (PAG electrophoresis densitometry)</t>
  </si>
  <si>
    <t xml:space="preserve">slight increase; HIGH; specimen serum; timing on admission (Table 1); age P47Y / 47 years of age</t>
  </si>
  <si>
    <t xml:space="preserve">IDL</t>
  </si>
  <si>
    <t xml:space="preserve">Densitometric analysis of the PAG electrophoresis demonstrated a marked increase in the VLDL fraction, with slight increases in IDL and small dense LDL, further supporting a type V hyperlipoproteinemia phenotype.</t>
  </si>
  <si>
    <t xml:space="preserve">PMID_42309774_the_patient#measurement:17</t>
  </si>
  <si>
    <t xml:space="preserve">Small dense LDL fraction (PAG electrophoresis densitometry)</t>
  </si>
  <si>
    <t xml:space="preserve">small dense LDL</t>
  </si>
  <si>
    <t xml:space="preserve">PMID_42309774_the_patient#measurement:18</t>
  </si>
  <si>
    <t xml:space="preserve">Serum TG (second pregnancy)</t>
  </si>
  <si>
    <t xml:space="preserve">exceeded 6,000; HIGH; specimen serum; timing during second pregnancy (historical); age P29Y / 29 years of age, during her second pregnancy</t>
  </si>
  <si>
    <t xml:space="preserve">During her second pregnancy at 29 years of age, serum TG levels exceeded 6,000 mg/dL; however, she delivered without developing pancreatitis and subsequently discontinued outpatient follow-up.</t>
  </si>
  <si>
    <t xml:space="preserve">PMID_42309774_the_patient#measurement:19</t>
  </si>
  <si>
    <t xml:space="preserve">TG (hospital day 5, after fasting/intravenous fluids and strict fat-restricted diet)</t>
  </si>
  <si>
    <t xml:space="preserve">225 mg/dL; HIGH; specimen serum; timing hospital day 5; age P47Y / 47 years of age</t>
  </si>
  <si>
    <t xml:space="preserve">TG levels decreased from 1,262 mg/dL to 225 mg/dL by day 5.</t>
  </si>
  <si>
    <t xml:space="preserve">PMID_42309774_the_patient#measurement:20</t>
  </si>
  <si>
    <t xml:space="preserve">TG (fasting and postprandial, during hospitalization on strict fat-restricted diet)</t>
  </si>
  <si>
    <t xml:space="preserve">202–270; HIGH; specimen serum; timing during hospitalization, on strict fat-restricted diet (≤ 15 g/day); age P47Y / 47 years of age</t>
  </si>
  <si>
    <t xml:space="preserve">On hospital day 3, a strict fat-restricted diet (≤ 15 g/day) was initiated. Both fasting and postprandial TG levels decreased to 202–270 mg/dL during hospitalization, and the patient was discharged on hospital day 13 ( Fig.4 ) .</t>
  </si>
  <si>
    <t xml:space="preserve">PMID_42309774_the_patient#measurement:21</t>
  </si>
  <si>
    <t xml:space="preserve">TG (postprandial chylomicronemia during hospitalization, as stated)</t>
  </si>
  <si>
    <t xml:space="preserve">1262; HIGH; specimen serum; timing during hospitalization despite strict low-fat diet (as stated; see extractor note); age P47Y / 47 years of age</t>
  </si>
  <si>
    <t xml:space="preserve">since postprandial chylomicronemia (TG, 1262 mg/dL) was observed despite the initiation of a strict low-fat diet during hospitalization, pemafibrate—a selective peroxisome proliferator–activated receptor-α (PPARα) modulator (extended-release formulation, 0.4 mg/day)—was added to dietary management</t>
  </si>
  <si>
    <t xml:space="preserve">PMID_42309774_the_patient#measurement:22</t>
  </si>
  <si>
    <t xml:space="preserve">Serum TG (follow-up on pemafibrate plus fat-restricted diet)</t>
  </si>
  <si>
    <t xml:space="preserve">approximately 214–489; HIGH; specimen serum; timing follow-up after discharge; age follow-up after discharge (age not stated)</t>
  </si>
  <si>
    <t xml:space="preserve">PMID_42309774_the_patient#measurement:23</t>
  </si>
  <si>
    <t xml:space="preserve">WBC (white blood cell count)</t>
  </si>
  <si>
    <t xml:space="preserve">9,510; ref {'low': 3100, 'high': 8400, 'text': '3,100–8,400/µL'}; HIGH; specimen blood; timing on admission (Table 1); age P47Y / 47 years of age</t>
  </si>
  <si>
    <t xml:space="preserve">white blood cells</t>
  </si>
  <si>
    <t xml:space="preserve">PMID_42309774_the_patient#measurement:24</t>
  </si>
  <si>
    <t xml:space="preserve">RBC</t>
  </si>
  <si>
    <t xml:space="preserve">519×10^4 (printed as 519×104); specimen blood; timing on admission (Table 1); age P47Y / 47 years of age</t>
  </si>
  <si>
    <t xml:space="preserve">erythrocyte count</t>
  </si>
  <si>
    <t xml:space="preserve">RBC | 519×104 | /μL</t>
  </si>
  <si>
    <t xml:space="preserve">tab:1 r3c1</t>
  </si>
  <si>
    <t xml:space="preserve">PMID_42309774_the_patient#measurement:25</t>
  </si>
  <si>
    <t xml:space="preserve">Hb</t>
  </si>
  <si>
    <t xml:space="preserve">12.7 g/dL; specimen blood; timing on admission (Table 1); age P47Y / 47 years of age</t>
  </si>
  <si>
    <t xml:space="preserve">haemoglobin</t>
  </si>
  <si>
    <t xml:space="preserve">Hb | 12.7 | g/dL</t>
  </si>
  <si>
    <t xml:space="preserve">tab:1 r4c1</t>
  </si>
  <si>
    <t xml:space="preserve">PMID_42309774_the_patient#measurement:26</t>
  </si>
  <si>
    <t xml:space="preserve">PLT</t>
  </si>
  <si>
    <t xml:space="preserve">13.5×10^4 (printed as 13.5×104); specimen blood; timing on admission (Table 1); age P47Y / 47 years of age</t>
  </si>
  <si>
    <t xml:space="preserve">platelet count</t>
  </si>
  <si>
    <t xml:space="preserve">PLT | 13.5×104 | /μL</t>
  </si>
  <si>
    <t xml:space="preserve">tab:1 r5c1</t>
  </si>
  <si>
    <t xml:space="preserve">PMID_42309774_the_patient#measurement:27</t>
  </si>
  <si>
    <t xml:space="preserve">AST</t>
  </si>
  <si>
    <t xml:space="preserve">18 U/L; specimen blood; timing on admission (Table 1); age P47Y / 47 years of age</t>
  </si>
  <si>
    <t xml:space="preserve">aspartate aminotransferase</t>
  </si>
  <si>
    <t xml:space="preserve">AST | 18 | U/L</t>
  </si>
  <si>
    <t xml:space="preserve">tab:1 r8c1</t>
  </si>
  <si>
    <t xml:space="preserve">PMID_42309774_the_patient#measurement:28</t>
  </si>
  <si>
    <t xml:space="preserve">ALT</t>
  </si>
  <si>
    <t xml:space="preserve">10 U/L; specimen blood; timing on admission (Table 1); age P47Y / 47 years of age</t>
  </si>
  <si>
    <t xml:space="preserve">alanine aminotransferase</t>
  </si>
  <si>
    <t xml:space="preserve">ALT | 10 | U/L</t>
  </si>
  <si>
    <t xml:space="preserve">tab:1 r9c1</t>
  </si>
  <si>
    <t xml:space="preserve">PMID_42309774_the_patient#measurement:29</t>
  </si>
  <si>
    <t xml:space="preserve">γ-GTP</t>
  </si>
  <si>
    <t xml:space="preserve">17 U/L; specimen blood; timing on admission (Table 1); age P47Y / 47 years of age</t>
  </si>
  <si>
    <t xml:space="preserve">gamma-glutamyl transferase</t>
  </si>
  <si>
    <t xml:space="preserve">γ-GTP | 17 | U/L</t>
  </si>
  <si>
    <t xml:space="preserve">tab:1 r10c1</t>
  </si>
  <si>
    <t xml:space="preserve">PMID_42309774_the_patient#measurement:30</t>
  </si>
  <si>
    <t xml:space="preserve">Pancreatic AMY (pancreatic amylase)</t>
  </si>
  <si>
    <t xml:space="preserve">2,905; ref {'low': 16, 'high': 52, 'text': '16–52 U/L'}; HIGH; specimen blood; timing on admission (Table 1); age P47Y / 47 years of age</t>
  </si>
  <si>
    <t xml:space="preserve">pancreatic amylase</t>
  </si>
  <si>
    <t xml:space="preserve">PMID_42309774_the_patient#measurement:31</t>
  </si>
  <si>
    <t xml:space="preserve">BUN</t>
  </si>
  <si>
    <t xml:space="preserve">12 mg/dL; specimen blood; timing on admission (Table 1); age P47Y / 47 years of age</t>
  </si>
  <si>
    <t xml:space="preserve">blood urea nitrogen</t>
  </si>
  <si>
    <t xml:space="preserve">BUN | 12 | mg/dL</t>
  </si>
  <si>
    <t xml:space="preserve">tab:1 r13c1</t>
  </si>
  <si>
    <t xml:space="preserve">PMID_42309774_the_patient#measurement:32</t>
  </si>
  <si>
    <t xml:space="preserve">Cre (creatinine)</t>
  </si>
  <si>
    <t xml:space="preserve">0.43 mg/dL; specimen blood; timing on admission (Table 1); age P47Y / 47 years of age</t>
  </si>
  <si>
    <t xml:space="preserve">CHEBI:16737 creatinine</t>
  </si>
  <si>
    <t xml:space="preserve">Cre | 0.43 | mg/dL</t>
  </si>
  <si>
    <t xml:space="preserve">tab:1 r14c1</t>
  </si>
  <si>
    <t xml:space="preserve">PMID_42309774_the_patient#measurement:33</t>
  </si>
  <si>
    <t xml:space="preserve">Na</t>
  </si>
  <si>
    <t xml:space="preserve">138 mEq/L; specimen blood; timing on admission (Table 1); age P47Y / 47 years of age</t>
  </si>
  <si>
    <t xml:space="preserve">Na | 138 | mEq/L</t>
  </si>
  <si>
    <t xml:space="preserve">tab:1 r15c1</t>
  </si>
  <si>
    <t xml:space="preserve">PMID_42309774_the_patient#measurement:34</t>
  </si>
  <si>
    <t xml:space="preserve">K</t>
  </si>
  <si>
    <t xml:space="preserve">3.6 mEq/L; specimen blood; timing on admission (Table 1); age P47Y / 47 years of age</t>
  </si>
  <si>
    <t xml:space="preserve">K | 3.6 | mEq/L</t>
  </si>
  <si>
    <t xml:space="preserve">tab:1 r16c1</t>
  </si>
  <si>
    <t xml:space="preserve">PMID_42309774_the_patient#measurement:35</t>
  </si>
  <si>
    <t xml:space="preserve">Cl</t>
  </si>
  <si>
    <t xml:space="preserve">101 mEq/L; specimen blood; timing on admission (Table 1); age P47Y / 47 years of age</t>
  </si>
  <si>
    <t xml:space="preserve">chloride</t>
  </si>
  <si>
    <t xml:space="preserve">Cl | 101 | mEq/L</t>
  </si>
  <si>
    <t xml:space="preserve">tab:1 r17c1</t>
  </si>
  <si>
    <t xml:space="preserve">PMID_42309774_the_patient#measurement:36</t>
  </si>
  <si>
    <t xml:space="preserve">Ca</t>
  </si>
  <si>
    <t xml:space="preserve">8.4 mg/dL; specimen blood; timing on admission (Table 1); age P47Y / 47 years of age</t>
  </si>
  <si>
    <t xml:space="preserve">calcium</t>
  </si>
  <si>
    <t xml:space="preserve">Ca | 8.4 | mg/dL</t>
  </si>
  <si>
    <t xml:space="preserve">tab:1 r18c1</t>
  </si>
  <si>
    <t xml:space="preserve">PMID_42309774_the_patient#measurement:37</t>
  </si>
  <si>
    <t xml:space="preserve">CRP (C-reactive protein)</t>
  </si>
  <si>
    <t xml:space="preserve">1.76 mg/dL; ref {'low': 0.0, 'high': 0.3, 'text': '0.00–0.30 mg/dL'}; HIGH; specimen blood; timing on admission (Table 1); age P47Y / 47 years of age</t>
  </si>
  <si>
    <t xml:space="preserve">C-reactive protein</t>
  </si>
  <si>
    <t xml:space="preserve">PMID_42309774_the_patient#measurement:38</t>
  </si>
  <si>
    <t xml:space="preserve">CRP (C-reactive protein), hospital day 5</t>
  </si>
  <si>
    <t xml:space="preserve">14.01 mg/dL; ref {'low': 0.0, 'high': 0.3, 'text': '0.00–0.30 mg/dL'}; HIGH; specimen blood; timing hospital day 5; age P47Y / 47 years of age</t>
  </si>
  <si>
    <t xml:space="preserve">The CRP level subsequently increased to 14.01 mg/dL on hospital day 5.</t>
  </si>
  <si>
    <t xml:space="preserve">PMID_42309774_the_patient#measurement:39</t>
  </si>
  <si>
    <t xml:space="preserve">Fasting glucose</t>
  </si>
  <si>
    <t xml:space="preserve">106 mg/dL; NORMAL; specimen blood; timing on admission (Table 1); age P47Y / 47 years of age</t>
  </si>
  <si>
    <t xml:space="preserve">glucose</t>
  </si>
  <si>
    <t xml:space="preserve">Fasting glucose | 106 | mg/dL</t>
  </si>
  <si>
    <t xml:space="preserve">tab:1 r2c8</t>
  </si>
  <si>
    <t xml:space="preserve">PMID_42309774_the_patient#measurement:40</t>
  </si>
  <si>
    <t xml:space="preserve">Insulin</t>
  </si>
  <si>
    <t xml:space="preserve">8.5 μU/mL; NORMAL; specimen blood; timing on admission (Table 1); age P47Y / 47 years of age</t>
  </si>
  <si>
    <t xml:space="preserve">insulin</t>
  </si>
  <si>
    <t xml:space="preserve">Insulin | 8.5 | μU/mL</t>
  </si>
  <si>
    <t xml:space="preserve">tab:1 r3c8</t>
  </si>
  <si>
    <t xml:space="preserve">PMID_42309774_the_patient#measurement:41</t>
  </si>
  <si>
    <t xml:space="preserve">HbA1c</t>
  </si>
  <si>
    <t xml:space="preserve">5.3 %; NORMAL; specimen blood; timing on admission (Table 1); age P47Y / 47 years of age</t>
  </si>
  <si>
    <t xml:space="preserve">hemoglobin A1c</t>
  </si>
  <si>
    <t xml:space="preserve">HbA1c | 5.3 | %</t>
  </si>
  <si>
    <t xml:space="preserve">tab:1 r4c8</t>
  </si>
  <si>
    <t xml:space="preserve">PMID_42309774_the_patient#measurement:42</t>
  </si>
  <si>
    <t xml:space="preserve">TSH</t>
  </si>
  <si>
    <t xml:space="preserve">0.84 μU/mL; NORMAL; specimen blood; timing on admission (Table 1); age P47Y / 47 years of age</t>
  </si>
  <si>
    <t xml:space="preserve">thyroid stimulating hormone</t>
  </si>
  <si>
    <t xml:space="preserve">TSH | 0.84 | μU/mL</t>
  </si>
  <si>
    <t xml:space="preserve">tab:1 r5c8</t>
  </si>
  <si>
    <t xml:space="preserve">PMID_42309774_the_patient#measurement:43</t>
  </si>
  <si>
    <t xml:space="preserve">FT4</t>
  </si>
  <si>
    <t xml:space="preserve">1.06 ng/dL; NORMAL; specimen blood; timing on admission (Table 1); age P47Y / 47 years of age</t>
  </si>
  <si>
    <t xml:space="preserve">free T4</t>
  </si>
  <si>
    <t xml:space="preserve">FT4 | 1.06 | ng/dL</t>
  </si>
  <si>
    <t xml:space="preserve">tab:1 r6c8</t>
  </si>
  <si>
    <t xml:space="preserve">PMID_42309774_the_patient#measurement:44</t>
  </si>
  <si>
    <t xml:space="preserve">Antinuclear antibody (Antinucler Ab)</t>
  </si>
  <si>
    <t xml:space="preserve">40-fold; NORMAL; specimen blood; timing on admission (Table 1); age P47Y / 47 years of age</t>
  </si>
  <si>
    <t xml:space="preserve">antinuclear antibody</t>
  </si>
  <si>
    <t xml:space="preserve">Antinucler Ab |  | 40-fold</t>
  </si>
  <si>
    <t xml:space="preserve">tab:1 r9c8</t>
  </si>
  <si>
    <t xml:space="preserve">PMID_42309774_the_patient#measurement:45</t>
  </si>
  <si>
    <t xml:space="preserve">Anti SS-A·SS-B antibodies</t>
  </si>
  <si>
    <t xml:space="preserve">negative; NORMAL; specimen blood; timing on admission (Table 1); age P47Y / 47 years of age</t>
  </si>
  <si>
    <t xml:space="preserve">anti-SS-A/SS-B antibodies</t>
  </si>
  <si>
    <t xml:space="preserve">Anti SS-A·SS-B Ab |  | negative</t>
  </si>
  <si>
    <t xml:space="preserve">tab:1 r10c8</t>
  </si>
  <si>
    <t xml:space="preserve">PMID_42309774_the_patient#measurement:46</t>
  </si>
  <si>
    <t xml:space="preserve">Rheumatoid factor</t>
  </si>
  <si>
    <t xml:space="preserve">6.2 U/mL; NORMAL; specimen blood; timing on admission (Table 1); age P47Y / 47 years of age</t>
  </si>
  <si>
    <t xml:space="preserve">rheumatoid factor</t>
  </si>
  <si>
    <t xml:space="preserve">Rheumatoid factor |  | 6.2 U/mL</t>
  </si>
  <si>
    <t xml:space="preserve">tab:1 r11c8</t>
  </si>
  <si>
    <t xml:space="preserve">PMID_42309774_the_patient#measurement:47</t>
  </si>
  <si>
    <t xml:space="preserve">Height</t>
  </si>
  <si>
    <t xml:space="preserve">158 cm; timing at presentation; age P47Y / 47 years of age</t>
  </si>
  <si>
    <t xml:space="preserve">body height</t>
  </si>
  <si>
    <t xml:space="preserve">PMID_42309774_the_patient#measurement:48</t>
  </si>
  <si>
    <t xml:space="preserve">Weight</t>
  </si>
  <si>
    <t xml:space="preserve">53 kg; timing at presentation; age P47Y / 47 years of age</t>
  </si>
  <si>
    <t xml:space="preserve">body weight</t>
  </si>
  <si>
    <t xml:space="preserve">PMID_42309774_the_patient#measurement:49</t>
  </si>
  <si>
    <t xml:space="preserve">Body mass index</t>
  </si>
  <si>
    <t xml:space="preserve">21.2 kg/m²; NORMAL; timing at presentation; age P47Y / 47 years of age</t>
  </si>
  <si>
    <t xml:space="preserve">body mass index</t>
  </si>
  <si>
    <t xml:space="preserve">PMID_42309774_the_patient#measurement:50</t>
  </si>
  <si>
    <t xml:space="preserve">Body temperature</t>
  </si>
  <si>
    <t xml:space="preserve">37.3 ℃; timing at presentation; age P47Y / 47 years of age</t>
  </si>
  <si>
    <t xml:space="preserve">body temperature</t>
  </si>
  <si>
    <t xml:space="preserve">Her body temperature was 37.3℃; blood pressure, 142/98 mmHg; heart rate, 76 beats/min and regular; respiratory rate, 16 breaths/min; and oxygen saturation, 98% on room air.</t>
  </si>
  <si>
    <t xml:space="preserve">PMID_42309774_the_patient#measurement:51</t>
  </si>
  <si>
    <t xml:space="preserve">Blood pressure</t>
  </si>
  <si>
    <t xml:space="preserve">142/98; timing at presentation; age P47Y / 47 years of age</t>
  </si>
  <si>
    <t xml:space="preserve">blood pressure</t>
  </si>
  <si>
    <t xml:space="preserve">PMID_42309774_the_patient#measurement:52</t>
  </si>
  <si>
    <t xml:space="preserve">Heart rate</t>
  </si>
  <si>
    <t xml:space="preserve">76 beats/min and regular; timing at presentation; age P47Y / 47 years of age</t>
  </si>
  <si>
    <t xml:space="preserve">heart rate</t>
  </si>
  <si>
    <t xml:space="preserve">PMID_42309774_the_patient#measurement:53</t>
  </si>
  <si>
    <t xml:space="preserve">Respiratory rate</t>
  </si>
  <si>
    <t xml:space="preserve">16 breaths/min; timing at presentation; age P47Y / 47 years of age</t>
  </si>
  <si>
    <t xml:space="preserve">respiratory rate</t>
  </si>
  <si>
    <t xml:space="preserve">PMID_42309774_the_patient#measurement:54</t>
  </si>
  <si>
    <t xml:space="preserve">Oxygen saturation</t>
  </si>
  <si>
    <t xml:space="preserve">98% on room air; timing at presentation; age P47Y / 47 years of age</t>
  </si>
  <si>
    <t xml:space="preserve">oxygen saturation</t>
  </si>
  <si>
    <t xml:space="preserve">PMID_42309774_the_patient#genetic_finding:0</t>
  </si>
  <si>
    <t xml:space="preserve">GPIHBP1 c.20del p.Val7AlafsTer73</t>
  </si>
  <si>
    <t xml:space="preserve">HOMOZYGOUS; pathogenic; targeted NGS gene panel (hybrid capture of 21 dyslipidemia genes; Illumina iSeq 100; BWA-MEM/GATK HaplotypeCaller; clinical test by KUBIX Inc.); transcript NM_178172.4; novel</t>
  </si>
  <si>
    <t xml:space="preserve">This analysis identified a novel homozygous mutation in the GPIHBP1 gene (NM_178172.4:c.20del [p.Val7AlafsTer73]) that has not been previously reported in public databases, including ClinVar ( Fig.3 ) .</t>
  </si>
  <si>
    <t xml:space="preserve">sec:6 ¶6</t>
  </si>
  <si>
    <t xml:space="preserve">PMID_42309774_the_patient#genetic_finding:1</t>
  </si>
  <si>
    <t xml:space="preserve">LPL</t>
  </si>
  <si>
    <t xml:space="preserve">UNKNOWN; targeted NGS gene panel (hybrid capture of 21 dyslipidemia genes; Illumina iSeq 100; BWA-MEM/GATK HaplotypeCaller; clinical test by KUBIX Inc.)</t>
  </si>
  <si>
    <t xml:space="preserve">No pathogenic variants were detected in other genes associated with impaired LPL activity, including LPL, apoC-II, apoA-V, and LMF1.</t>
  </si>
  <si>
    <t xml:space="preserve">PMID_42309774_the_patient#genetic_finding:2</t>
  </si>
  <si>
    <t xml:space="preserve">APOC2</t>
  </si>
  <si>
    <t xml:space="preserve">PMID_42309774_the_patient#genetic_finding:3</t>
  </si>
  <si>
    <t xml:space="preserve">APOA5</t>
  </si>
  <si>
    <t xml:space="preserve">PMID_42309774_the_patient#genetic_finding:4</t>
  </si>
  <si>
    <t xml:space="preserve">LMF1</t>
  </si>
  <si>
    <t xml:space="preserve">PMID_42309774_the_patient#diagnosis:0</t>
  </si>
  <si>
    <t xml:space="preserve">Familial chylomicronemia syndrome (FCS) caused by a novel homozygous GPIHBP1 frameshift mutation (GPIHBP1 deficiency)</t>
  </si>
  <si>
    <t xml:space="preserve">FINAL; MOLECULAR; symptomatic; age at dx P47Y / 47 years (molecular diagnosis); clinically diagnosed with primary chylomicronemia in infancy</t>
  </si>
  <si>
    <t xml:space="preserve">Hyperlipoproteinemia, type 1D (GPIHBP1 deficiency)</t>
  </si>
  <si>
    <t xml:space="preserve">we reported an extremely rare case of familial chylomicronemia syndrome (FCS) caused by a novel homozygous frameshift mutation in the GPIHBP1 gene (NM_178172.4:c.20del [p.Val7AlafsTer73]), in which pregnancy acted as a major trigger for severe hypertriglyceridemia and acute pancreatitis.</t>
  </si>
  <si>
    <t xml:space="preserve">PMID_42309774_the_patient#diagnosis:1</t>
  </si>
  <si>
    <t xml:space="preserve">Primary chylomicronemia (childhood clinical diagnosis, later specified as GPIHBP1 deficiency)</t>
  </si>
  <si>
    <t xml:space="preserve">REVISED_FROM; CLINICAL; unknown; age at dx infancy</t>
  </si>
  <si>
    <t xml:space="preserve">Familial chylomicronemia syndrome</t>
  </si>
  <si>
    <t xml:space="preserve">PMID_42309774_the_patient#diagnosis:2</t>
  </si>
  <si>
    <t xml:space="preserve">Lipoprotein lipase (LPL) deficiency</t>
  </si>
  <si>
    <t xml:space="preserve">EXCLUDED; MOLECULAR</t>
  </si>
  <si>
    <t xml:space="preserve">Familial lipoprotein lipase deficiency</t>
  </si>
  <si>
    <t xml:space="preserve">PMID_42309774_the_patient#diagnosis:3</t>
  </si>
  <si>
    <t xml:space="preserve">ApoC-II deficiency</t>
  </si>
  <si>
    <t xml:space="preserve">Apolipoprotein C-II deficiency</t>
  </si>
  <si>
    <t xml:space="preserve">PMID_42309774_the_patient#diagnosis:4</t>
  </si>
  <si>
    <t xml:space="preserve">ApoA-V deficiency</t>
  </si>
  <si>
    <t xml:space="preserve">Apolipoprotein A-V deficiency</t>
  </si>
  <si>
    <t xml:space="preserve">PMID_42309774_the_patient#diagnosis:5</t>
  </si>
  <si>
    <t xml:space="preserve">LMF1 deficiency</t>
  </si>
  <si>
    <t xml:space="preserve">Lipase maturation factor 1 deficiency</t>
  </si>
  <si>
    <t xml:space="preserve">PMID_42309774_the_patient#treatment:0</t>
  </si>
  <si>
    <t xml:space="preserve">Dietary fat restriction alone from infancy until preschool age</t>
  </si>
  <si>
    <t xml:space="preserve">diet; dietary fat restriction; response: not_stated</t>
  </si>
  <si>
    <t xml:space="preserve">PMID_42309774_the_patient#treatment:1</t>
  </si>
  <si>
    <t xml:space="preserve">Hospitalization during second pregnancy (TG &gt;6,000 mg/dL) to prevent pancreatitis</t>
  </si>
  <si>
    <t xml:space="preserve">supportive; hospitalization; response: not_stated; She delivered without complications</t>
  </si>
  <si>
    <t xml:space="preserve">During her second pregnancy at age 29, TG levels exceeded 6,000 mg/dL, requiring hospitalization to prevent pancreatitis. She delivered without complications, but follow-up was again discontinued after her second child.</t>
  </si>
  <si>
    <t xml:space="preserve">PMID_42309774_the_patient#treatment:2</t>
  </si>
  <si>
    <t xml:space="preserve">Fasting and intravenous fluid therapy for acute pancreatitis</t>
  </si>
  <si>
    <t xml:space="preserve">supportive; fasting and intravenous fluids; response: improved; acute pancreatitis improved rapidly; TG decreased from 1,262 mg/dL to 225 mg/dL by day 5</t>
  </si>
  <si>
    <t xml:space="preserve">Following admission, acute pancreatitis improved rapidly with continued fasting and intravenous fluid therapy alone.</t>
  </si>
  <si>
    <t xml:space="preserve">PMID_42309774_the_patient#treatment:3</t>
  </si>
  <si>
    <t xml:space="preserve">Strict fat-restricted diet (≤ 15 g fat/day) from hospital day 3</t>
  </si>
  <si>
    <t xml:space="preserve">diet; strict fat-restricted diet (≤ 15 g/day); response: improved; fasting and postprandial TG decreased to 202–270 mg/dL during hospitalization; discharged on hospital day 13</t>
  </si>
  <si>
    <t xml:space="preserve">PMID_42309774_the_patient#treatment:4</t>
  </si>
  <si>
    <t xml:space="preserve">Conventional fat-restricted diet at home after discharge</t>
  </si>
  <si>
    <t xml:space="preserve">diet; conventional fat-restricted diet; response: stable; combined with pemafibrate, TG remained approximately 214–489 mg/dL during follow-up</t>
  </si>
  <si>
    <t xml:space="preserve">After discharge, conventional fat-restricted diet at home was started.</t>
  </si>
  <si>
    <t xml:space="preserve">PMID_42309774_the_patient#treatment:5</t>
  </si>
  <si>
    <t xml:space="preserve">Pemafibrate (selective PPARα modulator), extended-release 0.4 mg/day, added to dietary management to prevent recurrent pancreatitis</t>
  </si>
  <si>
    <t xml:space="preserve">drug; pemafibrate; response: stable; serum TG levels remained stable at approximately 214–489 mg/dL (below 500 mg/dL) during follow-up, with no recurrence of pancreatitis</t>
  </si>
  <si>
    <t xml:space="preserve">PMID_42309774_the_patient#outcome:0</t>
  </si>
  <si>
    <t xml:space="preserve">Acute pancreatitis resolved rapidly with fasting and intravenous fluids; the patient was discharged on hospital day 13. On a fat-restricted diet plus pemafibrate 0.4 mg/day, serum TG remained approximately 214–489 mg/dL during follow-up with no recurrence of pancreatitis; the authors state lifelong monitoring is required.</t>
  </si>
  <si>
    <t xml:space="preserve">PMID_42309774_her_younger_brother#subject:0</t>
  </si>
  <si>
    <t xml:space="preserve">PMID_42309774_her_younger_brother</t>
  </si>
  <si>
    <t xml:space="preserve">her younger brother</t>
  </si>
  <si>
    <t xml:space="preserve">PMID_42309774_her_younger_brother#family:0</t>
  </si>
  <si>
    <t xml:space="preserve">PMID_42309774_her_younger_brother#family:1</t>
  </si>
  <si>
    <t xml:space="preserve">Younger brother of the index proband (a 47-year-old woman with familial chylomicronemia syndrome due to a novel homozygous GPIHBP1 c.20del variant). Parents, a younger sister, the proband's two daughters and his own son had no history of hypertriglyceridemia or pancreatitis. The proband reported a history of consanguineous marriage in the family, details unclear.</t>
  </si>
  <si>
    <t xml:space="preserve">PMID_42309774_her_younger_brother#phenotype:0</t>
  </si>
  <si>
    <t xml:space="preserve">marked</t>
  </si>
  <si>
    <t xml:space="preserve">Her younger brother had experienced marked hypertriglyceridemia with recurrent episodes of acute pancreatitis.</t>
  </si>
  <si>
    <t xml:space="preserve">sec:5 ¶5</t>
  </si>
  <si>
    <t xml:space="preserve">PMID_42309774_her_younger_brother#phenotype:1</t>
  </si>
  <si>
    <t xml:space="preserve">recurrent</t>
  </si>
  <si>
    <t xml:space="preserve">PMID_42653298_son_III_1#subject:0</t>
  </si>
  <si>
    <t xml:space="preserve">PMID_42653298_son_III_1</t>
  </si>
  <si>
    <t xml:space="preserve">son (III-1)</t>
  </si>
  <si>
    <t xml:space="preserve">PMID_42653298_son_III_1#subject:1</t>
  </si>
  <si>
    <t xml:space="preserve">PMID_42653298_son_III_1#subject:2</t>
  </si>
  <si>
    <t xml:space="preserve">PMID_42653298_son_III_1#subject:3</t>
  </si>
  <si>
    <t xml:space="preserve">P10Y / 10 years old (at study enrolment)</t>
  </si>
  <si>
    <t xml:space="preserve">PMID_42653298_son_III_1#family:0</t>
  </si>
  <si>
    <t xml:space="preserve">PMID_42653298_son_III_1#family:1</t>
  </si>
  <si>
    <t xml:space="preserve">PMID_42653298_son_III_1#phenotype:0</t>
  </si>
  <si>
    <t xml:space="preserve">ABSENT: Clinical symptoms</t>
  </si>
  <si>
    <t xml:space="preserve">asymptomatic on early preventive riboflavin</t>
  </si>
  <si>
    <t xml:space="preserve">Despite an altered blood acylcarnitine profile, the children were asymptomatic; nevertheless, riboflavin was administered as a preventive measure at a very early age (after weaning).</t>
  </si>
  <si>
    <t xml:space="preserve">PMID_42653298_son_III_1#measurement:0</t>
  </si>
  <si>
    <t xml:space="preserve">blood acylcarnitine profile</t>
  </si>
  <si>
    <t xml:space="preserve">altered; ABNORMAL; specimen blood; timing before preventive riboflavin</t>
  </si>
  <si>
    <t xml:space="preserve">acylcarnitines</t>
  </si>
  <si>
    <t xml:space="preserve">PMID_42653298_son_III_1#measurement:1</t>
  </si>
  <si>
    <t xml:space="preserve">54.75; ref {'low': 19.93, 'high': 52.78, 'text': '19.93–52.78'}; HIGH; specimen blood; timing before riboflavin treatment</t>
  </si>
  <si>
    <t xml:space="preserve">PMID_42653298_son_III_1#measurement:2</t>
  </si>
  <si>
    <t xml:space="preserve">tab:1 r2c5</t>
  </si>
  <si>
    <t xml:space="preserve">PMID_42653298_son_III_1#measurement:3</t>
  </si>
  <si>
    <t xml:space="preserve">2.33; ref {'low': 0.05, 'high': 0.46, 'text': '0.05–0.46'}; HIGH; specimen blood; timing before riboflavin treatment</t>
  </si>
  <si>
    <t xml:space="preserve">tab:1 r6c4</t>
  </si>
  <si>
    <t xml:space="preserve">PMID_42653298_son_III_1#measurement:4</t>
  </si>
  <si>
    <t xml:space="preserve">0.66; ref {'low': 0.05, 'high': 0.46, 'text': '0.05–0.46'}; HIGH; specimen blood; timing after riboflavin treatment (B2)</t>
  </si>
  <si>
    <t xml:space="preserve">tab:1 r6c5</t>
  </si>
  <si>
    <t xml:space="preserve">PMID_42653298_son_III_1#measurement:5</t>
  </si>
  <si>
    <t xml:space="preserve">4.11; ref {'low': 0.09, 'high': 0.87, 'text': '0.09–0.87'}; HIGH; specimen blood; timing before riboflavin treatment</t>
  </si>
  <si>
    <t xml:space="preserve">tab:1 r7c4</t>
  </si>
  <si>
    <t xml:space="preserve">PMID_42653298_son_III_1#measurement:6</t>
  </si>
  <si>
    <t xml:space="preserve">1.11; ref {'low': 0.09, 'high': 0.87, 'text': '0.09–0.87'}; HIGH; specimen blood; timing after riboflavin treatment (B2)</t>
  </si>
  <si>
    <t xml:space="preserve">tab:1 r7c5</t>
  </si>
  <si>
    <t xml:space="preserve">PMID_42653298_son_III_1#measurement:7</t>
  </si>
  <si>
    <t xml:space="preserve">0.88; ref {'low': 0.04, 'high': 0.37, 'text': '0.04–0.37'}; HIGH; specimen blood; timing before riboflavin treatment</t>
  </si>
  <si>
    <t xml:space="preserve">PMID_42653298_son_III_1#measurement:8</t>
  </si>
  <si>
    <t xml:space="preserve">tab:1 r8c5</t>
  </si>
  <si>
    <t xml:space="preserve">PMID_42653298_son_III_1#measurement:9</t>
  </si>
  <si>
    <t xml:space="preserve">0.46; ref {'low': 0.03, 'high': 0.25, 'text': '0.03–0.25'}; HIGH; specimen blood; timing before riboflavin treatment</t>
  </si>
  <si>
    <t xml:space="preserve">PMID_42653298_son_III_1#measurement:10</t>
  </si>
  <si>
    <t xml:space="preserve">tab:1 r9c5</t>
  </si>
  <si>
    <t xml:space="preserve">PMID_42653298_son_III_1#measurement:11</t>
  </si>
  <si>
    <t xml:space="preserve">PMID_42653298_son_III_1#measurement:12</t>
  </si>
  <si>
    <t xml:space="preserve">tab:1 r10c5</t>
  </si>
  <si>
    <t xml:space="preserve">PMID_42653298_son_III_1#measurement:13</t>
  </si>
  <si>
    <t xml:space="preserve">0.3; ref {'low': 0.03, 'high': 0.23, 'text': '0.03–0.23'}; HIGH; specimen blood; timing before riboflavin treatment</t>
  </si>
  <si>
    <t xml:space="preserve">tab:1 r12c4</t>
  </si>
  <si>
    <t xml:space="preserve">PMID_42653298_son_III_1#measurement:14</t>
  </si>
  <si>
    <t xml:space="preserve">\ (normalization of the parameter); ref {'low': 0.03, 'high': 0.23, 'text': '0.03–0.23'}; NORMAL; specimen blood; timing after riboflavin treatment (B2)</t>
  </si>
  <si>
    <t xml:space="preserve">tab:1 r12c5</t>
  </si>
  <si>
    <t xml:space="preserve">PMID_42653298_son_III_1#measurement:15</t>
  </si>
  <si>
    <t xml:space="preserve">0.12; ref {'low': 0.01, 'high': 0.1, 'text': '0.01–0.10'}; HIGH; specimen blood; timing before riboflavin treatment</t>
  </si>
  <si>
    <t xml:space="preserve">PMID_42653298_son_III_1#measurement:16</t>
  </si>
  <si>
    <t xml:space="preserve">tab:1 r13c5</t>
  </si>
  <si>
    <t xml:space="preserve">PMID_42653298_son_III_1#measurement:17</t>
  </si>
  <si>
    <t xml:space="preserve">tab:1 r15c4</t>
  </si>
  <si>
    <t xml:space="preserve">PMID_42653298_son_III_1#measurement:18</t>
  </si>
  <si>
    <t xml:space="preserve">tab:1 r15c5</t>
  </si>
  <si>
    <t xml:space="preserve">PMID_42653298_son_III_1#measurement:19</t>
  </si>
  <si>
    <t xml:space="preserve">ETFDH protein level (immunoblot, immortalized skin fibroblasts HCM3)</t>
  </si>
  <si>
    <t xml:space="preserve">PMID_42653298_son_III_1#measurement:20</t>
  </si>
  <si>
    <t xml:space="preserve">ETFDH mRNA expression (RT-qPCR, immortalized skin fibroblasts HCM3)</t>
  </si>
  <si>
    <t xml:space="preserve">PMID_42653298_son_III_1#measurement:21</t>
  </si>
  <si>
    <t xml:space="preserve">ETFDH mRNA expression under reduced riboflavin (RT-qPCR, fibroblasts HCM3)</t>
  </si>
  <si>
    <t xml:space="preserve">PMID_42653298_son_III_1#measurement:22</t>
  </si>
  <si>
    <t xml:space="preserve">ETFDH mutant vs wild-type transcript allelic expression (digital PCR, fibroblasts HCM3)</t>
  </si>
  <si>
    <t xml:space="preserve">PMID_42653298_son_III_1#measurement:23</t>
  </si>
  <si>
    <t xml:space="preserve">oxygen consumption rate with octanoylcarnitine substrate (high-resolution respirometry, fibroblasts HCM3)</t>
  </si>
  <si>
    <t xml:space="preserve">PMID_42653298_son_III_1#measurement:24</t>
  </si>
  <si>
    <t xml:space="preserve">mitochondrial membrane potential (JC-1, fibroblasts HCM3)</t>
  </si>
  <si>
    <t xml:space="preserve">PMID_42653298_son_III_1#measurement:25</t>
  </si>
  <si>
    <t xml:space="preserve">ETFDH protein level under reduced riboflavin (immunoblot, fibroblasts HCM3)</t>
  </si>
  <si>
    <t xml:space="preserve">no significant changes under any of the tested riboflavin concentrations (5–500 nM) compared with standard medium; NORMAL; specimen fibroblasts</t>
  </si>
  <si>
    <t xml:space="preserve">Western blot analysis showed no significant changes in ETFDH protein in HCM2, HCM3, or HC0215 cells under any of the tested conditions.</t>
  </si>
  <si>
    <t xml:space="preserve">PMID_42653298_son_III_1#measurement:26</t>
  </si>
  <si>
    <t xml:space="preserve">mitochondrial content after riboflavin withdrawal (mitoRED staining, fibroblasts HCM3)</t>
  </si>
  <si>
    <t xml:space="preserve">no significant change (only HCM1 showed increased mitochondrial content); NORMAL; specimen fibroblasts</t>
  </si>
  <si>
    <t xml:space="preserve">PMID_42653298_son_III_1#measurement:27</t>
  </si>
  <si>
    <t xml:space="preserve">ETFDH-complex III interaction, PLA dots per nucleus (proximity ligation assay, fibroblasts HCM3)</t>
  </si>
  <si>
    <t xml:space="preserve">PMID_42653298_son_III_1#measurement:28</t>
  </si>
  <si>
    <t xml:space="preserve">intracellular reactive oxygen species (CellROX, fibroblasts HCM3)</t>
  </si>
  <si>
    <t xml:space="preserve">ROS levels did not show any changes; NORMAL; specimen fibroblasts</t>
  </si>
  <si>
    <t xml:space="preserve">PMID_42653298_son_III_1#genetic_finding:0</t>
  </si>
  <si>
    <t xml:space="preserve">HETEROZYGOUS; paternal; likely_pathogenic; WES; Sanger sequencing of fibroblast cDNA; digital PCR; transcript NM_004453.4; novel</t>
  </si>
  <si>
    <t xml:space="preserve">PMID_42653298_son_III_1#diagnosis:0</t>
  </si>
  <si>
    <t xml:space="preserve">FINAL; MOLECULAR; family_screening</t>
  </si>
  <si>
    <t xml:space="preserve">Furthermore, the children display an altered acylcarnitine profile, compatible with MADD, further strengthening the dominant model of inheritance.</t>
  </si>
  <si>
    <t xml:space="preserve">PMID_42653298_son_III_1#treatment:0</t>
  </si>
  <si>
    <t xml:space="preserve">preventive riboflavin from a very early age (after weaning)</t>
  </si>
  <si>
    <t xml:space="preserve">cofactor_vitamin; riboflavin; response: improved; riboflavin induced a dramatic change in the acylcarnitine pattern; a first treatment did not completely normalize parameters in the older sibling (M2): C8 and C10 remained elevated</t>
  </si>
  <si>
    <t xml:space="preserve">PMID_42653298_son_III_1#outcome:0</t>
  </si>
  <si>
    <t xml:space="preserve">Asymptomatic at 10 years on early preventive riboflavin; acylcarnitine profile largely but not completely normalized (C8 and C10 still above range) after a first riboflavin treatment.</t>
  </si>
  <si>
    <t xml:space="preserve">extracted FINAL diagnosis</t>
  </si>
  <si>
    <t xml:space="preserve">tier</t>
  </si>
  <si>
    <t xml:space="preserve">n facts</t>
  </si>
  <si>
    <t xml:space="preserve">Diagnosis correct?</t>
  </si>
  <si>
    <t xml:space="preserve">Tier correct?</t>
  </si>
  <si>
    <t xml:space="preserve">Narrative complete?</t>
  </si>
  <si>
    <t xml:space="preserve">Narrative has other individuals' text?</t>
  </si>
  <si>
    <t xml:space="preserve">Overall quality (1-5)</t>
  </si>
  <si>
    <t xml:space="preserve">Lipoid congenital adrenal hyperplasia (LCAH) [MONDO:0008725]</t>
  </si>
  <si>
    <t xml:space="preserve">MOLECULAR</t>
  </si>
  <si>
    <t xml:space="preserve">Late-onset Tay–Sachs disease (LOTS) [MONDO:0010100]</t>
  </si>
  <si>
    <t xml:space="preserve">Multiple acyl-CoA dehydrogenase deficiency (MADD) [MONDO:0009282]</t>
  </si>
  <si>
    <t xml:space="preserve">Familial chylomicronemia syndrome (FCS) caused by a novel homozygous GPIHBP1 frameshift mutation (GPIHBP1 deficiency) [?]</t>
  </si>
  <si>
    <t xml:space="preserve">What the paper states (the missed fact)</t>
  </si>
  <si>
    <t xml:space="preserve">Where (anchor or page)</t>
  </si>
  <si>
    <t xml:space="preserve">section</t>
  </si>
  <si>
    <t xml:space="preserve">text</t>
  </si>
  <si>
    <t xml:space="preserve">narrative of</t>
  </si>
  <si>
    <t xml:space="preserve">title</t>
  </si>
  <si>
    <t xml:space="preserve">Two siblings with lipoid congenital adrenal hyperplasia: first reported case in Serbia and literature review</t>
  </si>
  <si>
    <t xml:space="preserve">Abstract</t>
  </si>
  <si>
    <t xml:space="preserve">Background: Lipoid congenital adrenal hyperplasia (LCAH) is an uncommon but life-threatening autosomal recessive disorder. It is caused by a mutation in the steroidogenic acute regulatory protein (StAR), encoded by the STAR gene.
Methods: Clinical manifestations of two siblings with primary adrenal insufficiency (PAI) were described. A female infant was admitted to the hospital at six months of age for vomiting and failure to thrive. The diagnosis of PAI of unknown etiology was established. The girl’s younger brother was diagnosed with PAI at the age of 1.5 years during a febrile illness. His external genitalia showed undescended testes, scrotal hypoplasia, and hypospadia. Their family history was normal, and both parents were healthy. Clinical exome sequencing was used to identify mutations in candidate genes.
Results: Two heterozygous STAR mutations, p.Trp250Ter and p.Arg188Cys, were identified in both children. The mother was heterozygous for the p.Trp250Ter mutation, and the father was heterozygous for the p.Arg188Cys mutation.
Conclusion: Glucocorticoid, mineralocorticoid, and sex hormone therapy should be individualized according to the clinical presentation and laboratory findings. Because genotype and phenotype do not correlate consistently in LCAH, therapy and follow-up must be individualized.</t>
  </si>
  <si>
    <t xml:space="preserve">Patient 1, Patient 2</t>
  </si>
  <si>
    <t xml:space="preserve">sec:1 ¶1</t>
  </si>
  <si>
    <t xml:space="preserve">Introduction</t>
  </si>
  <si>
    <t xml:space="preserve">Lipoid congenital adrenal hyperplasia (LCAH, OMIM #201710, OMIM - Online Mendelian Inheritance in Man) is an uncommon but life-threatening autosomal recessive disorder. It is caused by a mutation in the steroidogenic acute regulatory protein (StAR), encoded by the STAR gene located on chromosome 8p11.2 (1). To date, more than 70 STAR variants have been reported (2), mostly in Caucasian children. The most frequently reported STAR variants differ among populations: c.772C&gt;T in Chinese populations (2), c.545G&gt;A in eastern Saudi Arabia (3), c.545G&gt;T among Palestinian Arabs (3, 4). The c.772C&gt;T variant in the STAR gene is the most commonly reported variant in Japanese and Korean populations, with an estimated incidence of approximately 1 in 250,000 to 1 in 300,000 newborns (3). In European populations, the relatively rare STAR variants, c.749G&gt;A and c.562C&gt;T, have been reported most frequently.</t>
  </si>
  <si>
    <t xml:space="preserve">sec:1 ¶2</t>
  </si>
  <si>
    <t xml:space="preserve">StAR is a cytoplasmic enzyme that transfers cholesterol to the inner mitochondrial membrane, and it is involved in the first steps of steroidogenesis in the adrenal cortex, gonads, kidneys, and brain. Clinical presentation can vary, depending on enzyme activity, from classic LCAH, defined by early-onset deficiency of glucocorticoids, mineralocorticoids, and sex steroids, to non-classic LCAH, characterized by late-onset glucocorticoid deficiency (5, 6). The study aimed to present the clinical course, diagnosis, and treatment of siblings with LCAH, the first cases diagnosed in Serbia, and to review the relevant literature.</t>
  </si>
  <si>
    <t xml:space="preserve">sec:3 ¶1</t>
  </si>
  <si>
    <t xml:space="preserve">Patients</t>
  </si>
  <si>
    <t xml:space="preserve">Both patients, a sister and a brother, underwent clinical examination with assessment of growth and sexual development. Clinical data included birth measurements and birth history; family history was obtained. Routine laboratory analyses included adrenocorticotropic hormone (ACTH), cortisol, 17-hydroxyprogesterone, plasma renin activity (PRA), androstenedione, and testosterone. Genetic testing was performed, and written informed consent was obtained from both parents.</t>
  </si>
  <si>
    <t xml:space="preserve">sec:4 ¶1</t>
  </si>
  <si>
    <t xml:space="preserve">Molecular assays</t>
  </si>
  <si>
    <t xml:space="preserve">Genomic DNA was extracted from peripheral blood using the DNA extraction kit (Qiagen, Hilden, Germany). Clinical exome sequencing was performed using the TruSight One panel (Illumina), which targets the coding exons and exon–intron boundaries of 4,813 clinically relevant genes selected based on their established associations with human genetic disorders, as curated from OMIM, ClinVar, HGMD, and current clinical literature. Sequencing reads were aligned to the human reference genome (hg19). Variant analysis was initially focused on the congenital adrenal hyperplasia (CAH) gene panel (HP:0008258, Human Phenotype Ontology), with particular emphasis on CYP21A2, the most common genetic cause of CAH. Because of the high sequence homology between CYP21A2 and its pseudogene CYP21A1P, gene conversions and large deletions were additionally assessed by gene-specific PCR amplification, as previously described (7–9). Since no causative variants were identified in CYP21A2, the remaining genes in the CAH panel, along with all other genes covered by the TruSight One panel, were systematically evaluated. Common variants (minor allele frequency &gt;1%) reported in the gnomAD Genomes, gnomAD Exomes, and 1000 Genomes databases were excluded. All pathogenic, likely pathogenic, and variants of uncertain significance (VUS) relevant to the patient’s phenotype were systematically reviewed. Variant interpretation and prioritization were performed using VarSome Professional (Saphetor SA, Lausanne, Switzerland) (10), taking into account the inheritance pattern, gene–disease association, available literature, and in silico predictions within the ACMG/AMP variant interpretation framework. Familial segregation of the identified STAR variants was evaluated using clinical exome sequencing data from both parents.</t>
  </si>
  <si>
    <t xml:space="preserve">Literature review</t>
  </si>
  <si>
    <t xml:space="preserve">LCAH was searched in the PubMed database for European articles. All variants in the STAR gene from publications were classified and interpreted in accordance with the ACMG (American College of Medical Genetics and Genomics)/AMP (Association for Molecular Pathology) standards and guidelines, using a five-tier system (P, LP, VUS, LB, B) based on evidence from population, computational, functional, and segregation data (11).</t>
  </si>
  <si>
    <t xml:space="preserve">Statistical analysis</t>
  </si>
  <si>
    <t xml:space="preserve">All data were analyzed using Microsoft Excel software.</t>
  </si>
  <si>
    <t xml:space="preserve">Patient 1</t>
  </si>
  <si>
    <t xml:space="preserve">A Serbian female infant was born at 40 gestational weeks with a normal birth weight of 3710 g, a birth length of 54 cm, and normal external female genitalia without signs of virilization. She was treated with phototherapy for neonatal unconjugated hyperbilirubinemia. At six months of age, she was admitted to the hospital for vomiting and failure to thrive. Her length was 70 cm (95th percentile), weight was 6650 g (25th percentile), and external genitalia were of a normal female. Laboratory analyses showed hyponatremia at 123 mmol/l, hyperkalemia at 7 mmol/l, and normoglycemia at 5.3 mmol/l (Table 1). Basal cortisol was 8.8 µg/dl (normal 2.97-23.4 µg/dl). The ACTH stimulation test showed no significant rise in cortisol levels (0 minute 8.8 ug/dl, 30 minute 8.9 ug/dl, 60 minute 9 ug/dl), while 17-hydroxyprogesterone levels were normal (0 minute 0.42 ng/ml, 30 minute 0.43 ng/ml, 60 minute 0.33 ng/ml). Karyotype was female 46, XX. The diagnosis of primary adrenal insufficiency (PAI) of unknown etiology was established. Hydrocortisone and fludrocortisone substitutional therapy was started.</t>
  </si>
  <si>
    <t xml:space="preserve">sec:9 ¶2</t>
  </si>
  <si>
    <t xml:space="preserve">Clinical exome sequencing revealed two heterozygous pathogenic variants in the STAR gene, c.749G&gt;A(p.Trp250Ter) and c.562C&gt;T(p.Arg188Cys), that are associated with LCAH.</t>
  </si>
  <si>
    <t xml:space="preserve">The girl’s younger brother was born at 40 gestational weeks with a normal birth weight of 3920g and a birth length of 57cm, Apgar score 9. He was referred to a urologist for examination at the age of three months due to undescended testes, scrotal hypoplasia, and hypospadias. Ultrasound showed both testes were located in the inguinal canals, so he was followed up for the next period. At the age of 1.5 years, he was hospitalized due to an electrolyte imbalance (hyponatremia 125 mmol/l, hyperkalemia 6.1 mmol/l, hypoglycemia 2.7 mmol/l) during a febrile respiratory illness (Table 2). Laboratory analyses showed a low cortisol level of 5.2 µg/dl (normal 2.97-23.4 µg/dl), a normal 17-hydroxyprogesterone level of 0.6 ng/ml (normal range &lt;2 ng/ml), a high PRA of 19 ng/ml/h (normal range 0.3-3.9), a low androstenedione of 0.11 ng/ml (normal range 0.15-3.1 ng/ml), and a low testosterone level of 0.06 ng/ml (normal range 1.75-7.81 ng/ml). Karyotype was normal male 46, XY, and adrenal ultrasound was described as normal. PAI was diagnosed, so hydrocortisone and fludrocortisone therapy was started. At the time of diagnosis, the boy was of normal height, 84 cm (75th percentile), and weight 10 kg (7th percentile). Clinical exome sequencing showed the same result as in the sister, compound heterozygosity for pathogenic variants in the STAR gene.</t>
  </si>
  <si>
    <t xml:space="preserve">sec:10 ¶2</t>
  </si>
  <si>
    <t xml:space="preserve">Neither parent showed any symptoms of LCAH. The mother was heterozygous for the p.Trp250Ter mutation, and the father was heterozygous for the p.Arg188Cys mutation (Figure 1).</t>
  </si>
  <si>
    <t xml:space="preserve">sec:10 ¶3</t>
  </si>
  <si>
    <t xml:space="preserve">Representative IGV screenshots of both variants in the affected siblings, together with their familial segregation, are shown in Figure 2.</t>
  </si>
  <si>
    <t xml:space="preserve">Follow-up</t>
  </si>
  <si>
    <t xml:space="preserve">The patients attended regular endocrinology follow-up visits every 6 months. Their growth was appropriate for age. They were treated with hydrocortisone (∼10 mg/m2/day) and fludrocortisone (0.05-0.1 mg/day), and their blood pressure, sodium, potassium, and PRA levels remained normal.</t>
  </si>
  <si>
    <t xml:space="preserve">The boy underwent right orchiopexy at the age of four years, because he had migratory testicle. At 5.5 years of age, his height was 114 cm (50-75th percentile), and his weight was 17 kg (10th percentile). Physical examination showed that both testes were in the scrotum, with a volume of 2 mL each.</t>
  </si>
  <si>
    <t xml:space="preserve">The girl was last seen at 9 years of age. Her height was 134 cm (50-75th percentile), and her weight was 34.5 kg (75-90th percentile). She had no clinical signs of puberty. During follow-up, patients did not develop adrenal crisis.</t>
  </si>
  <si>
    <t xml:space="preserve">All European-published articles on LCAH in PubMed were reviewed.</t>
  </si>
  <si>
    <t xml:space="preserve">Table 3 shows 19 patients with reported mutations in the STAR gene, diagnosed in the European population, including the present cases. Eight 46, XX and eleven 46, XY patients are presented. 10 different variants in the STAR gene were reported. Two 46, XY patients had hypospadia or cryptorchidism, one had undifferentiated external genitalia, and seven had normal female genitalia. The age at presentation was from the first day of life to 1,5 year old.</t>
  </si>
  <si>
    <t xml:space="preserve">sec:14 ¶1</t>
  </si>
  <si>
    <t xml:space="preserve">Phenotype and genotype of the LCAH</t>
  </si>
  <si>
    <t xml:space="preserve">StAR is important for steroid biosynthesis in the adrenal cortex and gonads. A mutation in the STAR gene causes a partial or complete loss of StAR protein function; therefore, the clinical presentation of LCAH depends on StAR activity. Clinically, it presents as PAI and 46, XY disorder of sex development, or as PAI and 46, XX with normal female external genitalia (1).</t>
  </si>
  <si>
    <t xml:space="preserve">sec:14 ¶2</t>
  </si>
  <si>
    <t xml:space="preserve">Complete loss of enzyme activity causes the most severe form of the disease, classic LCAH, which manifests in the neonatal period or early infancy. Mutations affecting the C-terminal functional domain of StAR severely impair StAR function (4, 22). The C-terminal domain is a cholesterol-binding site that is crucial for the protein’s biological activity and essential for steroidogenesis. As a result, StAR-dependent steroidogenesis is diminished.</t>
  </si>
  <si>
    <t xml:space="preserve">sec:14 ¶3</t>
  </si>
  <si>
    <t xml:space="preserve">Partial StAR activity, usually retaining 10-25% of enzyme activity, is responsible for a less severe form of disease, non-classic LCAH, which is characterized by later onset and an initial manifestation of isolated adrenal insufficiency. Lu et al. concluded that the age of PAI onset is not a key determinant for differentiating between classic and non-classical forms instead;one should rely on the percentage of enzymatic activity (23). As direct measurement of StAR activity was not routinely available in our clinical practice, classification of the phenotype, diagnosis and therapy could be relied on the clinical presentation together with the known functional consequences of the identified STAR variants reported in the literature.</t>
  </si>
  <si>
    <t xml:space="preserve">sec:14 ¶4</t>
  </si>
  <si>
    <t xml:space="preserve">Classic LCAH has the highest prevalence in Japan, Korea, and India, but is quite rare in European populations (18, 23). Only several cases of LCAH have been reported in the pediatric population in Europe (Table 3).</t>
  </si>
  <si>
    <t xml:space="preserve">sec:15 ¶1</t>
  </si>
  <si>
    <t xml:space="preserve">Clinical and molecular characterization of the patients</t>
  </si>
  <si>
    <t xml:space="preserve">To our knowledge, this is the first report of siblings with LCAH in Serbia, carrying the same compound heterozygous STAR genotype: c.749G&gt;A (p.Trp250Ter) and c.562C&gt;T (p.Arg188Cys). The same compound variants were reported in a 46, XY male infant in Switzerland. He presented at age 3.5 months with generalized hyperpigmentation, cryptorchidism, micropenis, but no hypospadias (15).</t>
  </si>
  <si>
    <t xml:space="preserve">sec:15 ¶2</t>
  </si>
  <si>
    <t xml:space="preserve">In our two patients, LCAH was diagnosed in mid-infancy and early childhood. In the case of LCAH, even when StAR loses its function, a StAR-independent steroidogenesis continues in some organs, which explains why PAI manifests after a few months of life (4). It is shown that 14% of the cholesterol import is StAR-independent (24).</t>
  </si>
  <si>
    <t xml:space="preserve">sec:15 ¶3</t>
  </si>
  <si>
    <t xml:space="preserve">The girl presented with the most common clinical signs of PAI: failure to thrive and vomiting. Because cortisol levels did not rise significantly during the electrolyte imbalance, ACTH stimulation test was performed. The inadequate cortisol response confirmed PAI of unknown etiology (Table 1). During the first year of life, PAI may be caused by CAH due to CYP21A2 gene mutation, various syndromes, adrenal dysgenesis and hypoplasia, disorders characterized by ACTH resistance, metabolic conditions with mitochondrial or peroxisomal defects, as well as disorders of cholesterol synthesis (25, 26). The ACTH stimulation test helped exclude CAH, the most common adrenal disorder in the first few months of life. In contrast to LCAH, patients with CAH due to 21-hydroxylase deficiency have elevated levels of 17-hydroxyprogesterone, and in patients with a 46, XX karyotype, virilized external genitalia. The second most common adrenal disorder in early childhood is adrenal hypoplasia, which can be distinguished from LCAH by the presence of hypoplastic adrenals on ultrasound (3). The definitive diagnosis was made using clinical exome sequencing.</t>
  </si>
  <si>
    <t xml:space="preserve">sec:15 ¶4</t>
  </si>
  <si>
    <t xml:space="preserve">In the boy, the major clinical indicators suggesting PAI were significant electrolyte imbalance, low cortisol level, and high PRA during a febrile infection (Table 2). Because his older sister had genetically confirmed LCAH, basic laboratory analyses were sufficient to support the diagnosis of PAI. Impaired testicular androgen secretion in utero resulted in insufficient prenatal androgenization and affected genital development in the boy. In patients with LCAH, reduced prenatal androgen exposure may lead to complete female external genitalia in 46, XY boys or to milder forms of differences in sex development.</t>
  </si>
  <si>
    <t xml:space="preserve">sec:15 ¶5</t>
  </si>
  <si>
    <t xml:space="preserve">Patients with LCAH typically have low steroid hormone levels and female-appearing external genitalia in both XX and XY karyotypes. Genetic testing identified the same STAR gene variants as those found in his sister.</t>
  </si>
  <si>
    <t xml:space="preserve">sec:15 ¶6</t>
  </si>
  <si>
    <t xml:space="preserve">The literature review shows that PAI in non-classical LCAH is usually diagnosed after age 2 years (24) and rarely at puberty (27, 28). Still, other authors have described the onset of non-classical LCAH at 10–12 months or later (5, 29). In the milder form of LCAH, male genitalia are typically normal or show minimal anomalies, such as cryptorchidism and hypospadias, in 46, XY individuals (27). Unlike non-classical LCAH, patients with the classic form demonstrate complete under virilization/feminization of the external genitalia in 46, XY subjects at birth. In contrast, the external genitalia in 46, XX subjects are normal female (5, 15, 27). During adulthood, male patients develop a decline in gonadal function due to hypergonadotropic hypogonadism and abnormal spermatogenesis (28). In contrast, female patients tend to experience spontaneous puberty, but with anovulatory cycles (22).</t>
  </si>
  <si>
    <t xml:space="preserve">sec:16 ¶1</t>
  </si>
  <si>
    <t xml:space="preserve">Clinical phenotypes reported in patients carrying the c.562C&gt;T (p.Arg188Cys) variant in the STAR gene</t>
  </si>
  <si>
    <t xml:space="preserve">A heterozygous variant c.562C&gt;T (p.Arg188Cys), a missense mutation at exon 5 of the STAR gene, results in the replacement of the amino acid Arginine with Cysteine at position 188 in the polypeptide chain of the StAR protein. According to ACMG criteria, the detected variant is classified as pathogenic (11, 15).</t>
  </si>
  <si>
    <t xml:space="preserve">sec:16 ¶2</t>
  </si>
  <si>
    <t xml:space="preserve">The p.Arg188Cys variant has been reported in both homozygous and compound heterozygous genotypes associated with a broad clinical spectrum.</t>
  </si>
  <si>
    <t xml:space="preserve">sec:16 ¶3</t>
  </si>
  <si>
    <t xml:space="preserve">The clinical severity in these patients likely reflects the combined effect of p.Arg188Cys and the variant present on the second allele. These reports support a variable phenotype, ranging from early childhood PAI to later-onset adrenal dysfunction.</t>
  </si>
  <si>
    <t xml:space="preserve">sec:16 ¶4</t>
  </si>
  <si>
    <t xml:space="preserve">Baker et al. reported the p.Arg188Cys variant in two male Pakistani siblings diagnosed with LCAH at 2.2 and 2.8 years of age (27). Both had a 46, XY karyotype and normal male genitalia at birth, with compensated glucocorticoid and mineralocorticoid deficiencies. Functional analysis showed that StAR retained 13.6% of wild-type activity, which was responsible for the non-classic, milder form of LCAH.</t>
  </si>
  <si>
    <t xml:space="preserve">sec:16 ¶5</t>
  </si>
  <si>
    <t xml:space="preserve">The p.Arg188Cys variant was also detected in a 46, XX Italian infant with normal female genitalia, who presented with PAI and classic LCAH at 7 months old (19).</t>
  </si>
  <si>
    <t xml:space="preserve">sec:16 ¶6</t>
  </si>
  <si>
    <t xml:space="preserve">Burget et al. reported a brother and sister who were diagnosed with LCAH in early infancy and were homozygous for the p.Arg188Cys variant (20). The authors emphasized the importance of monitoring gonadal function during puberty and early adulthood in patients homozygous for p.Arg188Cys due to risk of infertility (20).</t>
  </si>
  <si>
    <t xml:space="preserve">sec:16 ¶7</t>
  </si>
  <si>
    <t xml:space="preserve">Lu et al. reported 47 variants in the STAR gene that cause non-classical LCAH, highlighting p.Arg188Cys as the most common variant, which accounts for 37.2% of cases (23). Patients with this STAR gene variant exhibit a wide range of PAI onset, spanning from birth to adulthood. Among 17 reported patients homozygous for the p.Arg188Cys, phenotypes varied significantly: out of 11 patients with a 46,XY karyotype, nine presented with typical male external genitalia, while two had hypospadias (23).</t>
  </si>
  <si>
    <t xml:space="preserve">sec:17 ¶1</t>
  </si>
  <si>
    <t xml:space="preserve">Clinical phenotypes reported in patients carrying the c.749G&gt;A (p.Trp250Ter) variant in the STAR gene</t>
  </si>
  <si>
    <t xml:space="preserve">The second heterozygous variant in our patients is c.749G&gt;A (p.Trp250Ter), a stop codon mutation in exon 7 of the STAR gene. The p.Trp250Ter variant introduces a premature termination codon in the final exon of the STAR gene and is expected to result in a truncated protein with severely impaired function. However, the clinical phenotype cannot be attributed to this variant independently of the variant present on the second allele.</t>
  </si>
  <si>
    <t xml:space="preserve">sec:17 ¶2</t>
  </si>
  <si>
    <t xml:space="preserve">The p.Trp250Ter variant has been reported in patients with both 46, XY and 46, XX karyotypes and in different biallelic genotypes. A homozygous p.Trp250Ter genotype was previously identified in a 46, XY patient with classic LCAH and female external genitalia (12). The variant has also been reported in 46, XX patients, including in compound heterozygosity with another pathogenic STAR variant, who presented with adrenal insufficiency early in life and had normal female external genitalia (15, 17).</t>
  </si>
  <si>
    <t xml:space="preserve">sec:17 ¶3</t>
  </si>
  <si>
    <t xml:space="preserve">The phenotype of our patients cannot be attributed to either variant individually but likely reflects the combined effect of the p.Arg188Cys allele, which has documented residual activity, and the predicted loss-of-function p.Trp250Ter allele.</t>
  </si>
  <si>
    <t xml:space="preserve">sec:18 ¶1</t>
  </si>
  <si>
    <t xml:space="preserve">Conclusion</t>
  </si>
  <si>
    <t xml:space="preserve">LCAH is a serious condition that is often not suspected due to its rarity. Genetic analysis confirms a diagnosis of LCAH and provides valuable information for identifying affected family members. Treatment should begin as soon as the diagnosis of PAI is confirmed. Glucocorticoid, mineralocorticoid, and sex hormone therapy are individualized according to the clinical presentation and laboratory findings. Because genotype and phenotype do not always correlate well, therapy and follow-up should be tailored to each patient, with long-term monitoring of adrenal and gonadal function.</t>
  </si>
  <si>
    <t xml:space="preserve">Table Table 1</t>
  </si>
  <si>
    <t xml:space="preserve">Laboratory results of patient 1.</t>
  </si>
  <si>
    <t xml:space="preserve">tab:1 r1</t>
  </si>
  <si>
    <t xml:space="preserve">Analyses | Result | Normal range</t>
  </si>
  <si>
    <t xml:space="preserve">tab:1 r2</t>
  </si>
  <si>
    <t xml:space="preserve">Natrium (mmol/l) | 123 | 135-145</t>
  </si>
  <si>
    <t xml:space="preserve">tab:1 r3</t>
  </si>
  <si>
    <t xml:space="preserve">Potassium (mmol/l) | 7 | 3.5-5</t>
  </si>
  <si>
    <t xml:space="preserve">tab:1 r4</t>
  </si>
  <si>
    <t xml:space="preserve">Glycemia (mmol/l) | 5.3 | 3.6-6.1</t>
  </si>
  <si>
    <t xml:space="preserve">tab:1 r5</t>
  </si>
  <si>
    <t xml:space="preserve">Cortisol (µg/dl) | 8.8 | 2.97-23.4</t>
  </si>
  <si>
    <t xml:space="preserve">tab:1 r6</t>
  </si>
  <si>
    <t xml:space="preserve">PRA (ng/ml/h) | 11 | 0.3-3.9</t>
  </si>
  <si>
    <t xml:space="preserve">tab:1 r7</t>
  </si>
  <si>
    <t xml:space="preserve">Aldosterone (ng/dl) | 24.5 | 3-35</t>
  </si>
  <si>
    <t xml:space="preserve">tab:1 r8</t>
  </si>
  <si>
    <t xml:space="preserve">17-hydroxyprogesterone (ng/ml) | 0.42 | &lt;2</t>
  </si>
  <si>
    <t xml:space="preserve">tab:1 r9</t>
  </si>
  <si>
    <t xml:space="preserve">ACTH stimulation test (0 minute) |  | </t>
  </si>
  <si>
    <t xml:space="preserve">tab:1 r10</t>
  </si>
  <si>
    <t xml:space="preserve">tab:1 r11</t>
  </si>
  <si>
    <t xml:space="preserve">17-hydroxyprogesterone (ng/ml) | 0.33 | &lt;2</t>
  </si>
  <si>
    <t xml:space="preserve">tab:1 r12</t>
  </si>
  <si>
    <t xml:space="preserve">ACTH stimulation test (60 minute) |  | </t>
  </si>
  <si>
    <t xml:space="preserve">tab:1 r13</t>
  </si>
  <si>
    <t xml:space="preserve">Cortisol (µg/dl) | 9 | &gt;18</t>
  </si>
  <si>
    <t xml:space="preserve">tab:1 r14</t>
  </si>
  <si>
    <t xml:space="preserve">17-hydroxyprogesterone (ng/ml) | 0.43 | &lt;9.8</t>
  </si>
  <si>
    <t xml:space="preserve">tab:2</t>
  </si>
  <si>
    <t xml:space="preserve">Table Table 2</t>
  </si>
  <si>
    <t xml:space="preserve">Laboratory results of patient 2.</t>
  </si>
  <si>
    <t xml:space="preserve">tab:2 r1</t>
  </si>
  <si>
    <t xml:space="preserve">tab:2 r2</t>
  </si>
  <si>
    <t xml:space="preserve">Natrium (mmol/l) | 125 | 135-145</t>
  </si>
  <si>
    <t xml:space="preserve">tab:2 r3</t>
  </si>
  <si>
    <t xml:space="preserve">Potassium (mmol/l) | 6.1 | 3.5-5</t>
  </si>
  <si>
    <t xml:space="preserve">tab:2 r4</t>
  </si>
  <si>
    <t xml:space="preserve">Glycemia (mmol/l) | 2.7 | 3.6-6.1</t>
  </si>
  <si>
    <t xml:space="preserve">tab:2 r5</t>
  </si>
  <si>
    <t xml:space="preserve">Cortisol (µg/dl) | 5.2 | 2.97-23.4</t>
  </si>
  <si>
    <t xml:space="preserve">tab:2 r6</t>
  </si>
  <si>
    <t xml:space="preserve">PRA ng/ml/h | 19 | 0.3-3.9</t>
  </si>
  <si>
    <t xml:space="preserve">tab:2 r7</t>
  </si>
  <si>
    <t xml:space="preserve">Aldosterone (ng/dl) | 22.4 | 3-35</t>
  </si>
  <si>
    <t xml:space="preserve">tab:2 r8</t>
  </si>
  <si>
    <t xml:space="preserve">17-hydroxyprogesterone (ng/ml) | 0.6 | &lt;2</t>
  </si>
  <si>
    <t xml:space="preserve">tab:2 r9</t>
  </si>
  <si>
    <t xml:space="preserve">Androstenedione (ng/ml) | 0.11 | 0.15-3.1</t>
  </si>
  <si>
    <t xml:space="preserve">tab:2 r10</t>
  </si>
  <si>
    <t xml:space="preserve">Testosterone (ng/ml) | 0.06 | 1.75-7.81</t>
  </si>
  <si>
    <t xml:space="preserve">tab:3</t>
  </si>
  <si>
    <t xml:space="preserve">Table Table 3</t>
  </si>
  <si>
    <t xml:space="preserve">Summary of pediatric patients diagnosed with LCAH in Europe.</t>
  </si>
  <si>
    <t xml:space="preserve">tab:3 r1</t>
  </si>
  <si>
    <t xml:space="preserve">Number | Gender | Age | Presentation | Externalgenitalia | Kariotype | Variants of STAR gene (ACMG/AMP class) | Reference</t>
  </si>
  <si>
    <t xml:space="preserve">tab:3 r2</t>
  </si>
  <si>
    <t xml:space="preserve">1. | F | 3 weeks | Vomiting, hyperpigmentation, inguinal hernia,PAI | Normalfemale | 46, XY | Homozygosity:c.749G&gt;A,p.Trp250Ter (P) | Korsch E et al.,1999 (12).</t>
  </si>
  <si>
    <t xml:space="preserve">tab:3 r3</t>
  </si>
  <si>
    <t xml:space="preserve">2. | F | 5 months | PAI | Normal female | 46, XY | Homozygosity:c.779T&gt;C,p.Leu260Arg (P) | Fluck CE et al., 2005 (13).</t>
  </si>
  <si>
    <t xml:space="preserve">tab:3 r4</t>
  </si>
  <si>
    <t xml:space="preserve">3. | F | 2,5 months | Failure to thrive | Normal female, | 46, XY | Compound heterozygosity:c.779T&gt;C,p.Leu260Arg (P)andc.470T&gt;C, p.Leu157Pro (LP) | Fluck CE et al., 2005 (13).</t>
  </si>
  <si>
    <t xml:space="preserve">tab:3 r5</t>
  </si>
  <si>
    <t xml:space="preserve">4. | F | 3,5 months | Vomiting during viral infection | Normal female | 46, XY | Compound heterozygosity:c.779T&gt;C,p.Leu260Arg (P)andc.629_630delCT,p.Leu210fsTer39 (P) | Fluck CE et al., 2005 (13).</t>
  </si>
  <si>
    <t xml:space="preserve">tab:3 r6</t>
  </si>
  <si>
    <t xml:space="preserve">5. | F | infant | PAI | DSD | 46, XY | Homozygosity:c.444C&gt;A, p.Asn148Lys (LP) | Bens Set al., 2010 (14).</t>
  </si>
  <si>
    <t xml:space="preserve">tab:3 r7</t>
  </si>
  <si>
    <t xml:space="preserve">6 | M | 3,5 months | Prolonged jaundicePigmentation, ambiguous genitalia,PAI | Micropenis cryptorchidism | 46, XY | Compound heterozygosity:c.562C&gt;T, p.Arg188Cys (P)andc.749G&gt;A,p.Trp250Ter (P) | Sahakitrungruang T et al., 2011 (15).</t>
  </si>
  <si>
    <t xml:space="preserve">tab:3 r8</t>
  </si>
  <si>
    <t xml:space="preserve">7. | F | 1 day | PAI | Normal female | 46, XX | Homozygosity:c.466-1G&gt;A, p.Val156GlyfsTer19 (P) | Camats N et al., 2013 (16).</t>
  </si>
  <si>
    <t xml:space="preserve">tab:3 r9</t>
  </si>
  <si>
    <t xml:space="preserve">8. | F | 8 months | Failure to thrive, PAI | Normal female | 46, XX | Homozygosity:c.834del11bp, p.Lys236delfsTer43 (P) | Sertedaki A et al., 2013 (17).</t>
  </si>
  <si>
    <t xml:space="preserve">tab:3 r10</t>
  </si>
  <si>
    <t xml:space="preserve">9. | F | 2 months | PAI | Normal female | 46, XX | Homozygosity:c.834del11bp, p.Lys236delfsTer43 (P) | Sertedaki A et al., 2013 (17).</t>
  </si>
  <si>
    <t xml:space="preserve">tab:3 r11</t>
  </si>
  <si>
    <t xml:space="preserve">10. | F | 20 days | PAI | Normal female | 46, XX | Homozygosity:c.834del11bp, p.Lys236delfsTer43 (P) | Sertedaki A et al., 2013 (17).</t>
  </si>
  <si>
    <t xml:space="preserve">tab:3 r12</t>
  </si>
  <si>
    <t xml:space="preserve">11. | F | 25 days | PAI | Normal female | 46, XY | Homozygosity:c.749G&gt;A,p.Trp250Ter (P) | Sertedaki A et al., 2013 (17).</t>
  </si>
  <si>
    <t xml:space="preserve">tab:3 r13</t>
  </si>
  <si>
    <t xml:space="preserve">12. | F | 16 days | PAI | Normal female | 46, XY | Homozygosity:c.749G&gt;A,p.Trp250Ter (P) | Sertedaki A et al., 2013 (17).</t>
  </si>
  <si>
    <t xml:space="preserve">tab:3 r14</t>
  </si>
  <si>
    <t xml:space="preserve">13. | F | 2.4 months | PAI | Normal female | 46, XY | Compound heterozygosity:c.444C&gt;A, p.Asn148Lys (LP)andc.577C&gt;T, p.Arg193Ter (P) | Kaur J et al., 2016 (18).</t>
  </si>
  <si>
    <t xml:space="preserve">tab:3 r15</t>
  </si>
  <si>
    <t xml:space="preserve">14. | F | 7 months | PAI | Normal female | 46, XX | Compound heterozygosity:c.562C&gt;T, p.Arg188Cys (P)andc.577C&gt;T, p.Arg193Ter (P) | Bizzarri C et al., 2017 (19).</t>
  </si>
  <si>
    <t xml:space="preserve">tab:3 r16</t>
  </si>
  <si>
    <t xml:space="preserve">15. | F | 14 months | hyperpigmentation | Normal female | 46, XX | Homozygosity: c.562C&gt;T, p.Arg188Cys (P) | Burget L et al., 2018 (20).</t>
  </si>
  <si>
    <t xml:space="preserve">tab:3 r17</t>
  </si>
  <si>
    <t xml:space="preserve">16. | M | Neonatalperiod | PAI | ND | 46, XY | Homozygosity:c.562C&gt;T, p.Arg188Cys (P) | Burget L et al., 2018 (20).</t>
  </si>
  <si>
    <t xml:space="preserve">tab:3 r18</t>
  </si>
  <si>
    <t xml:space="preserve">17. | F | 1,5 month | PAI | Normal female | 46, XX | Compound heterozygosity:c.611C&gt;G,p.Thr204Arg (VUS)andc.779T&gt;G,p.Leu260Arg (P) | Katharopoulos E et al, 2020 (21).</t>
  </si>
  <si>
    <t xml:space="preserve">tab:3 r19</t>
  </si>
  <si>
    <t xml:space="preserve">18. | F | 6 months | Failure to thrive, PAI | Normal female | 46, XX | Compound heterozygosity:c.749G&gt;A, p.Trp250Ter (P)andc.562C&gt;T, p.Arg188Cys (P) | Present case</t>
  </si>
  <si>
    <t xml:space="preserve">tab:3 r20</t>
  </si>
  <si>
    <t xml:space="preserve">19. | M | 1,5 years | PAI due to infection | CryptorchidismHypospadia | 46, XY | Compound heterozygosity:c.749G&gt;A, p.Trp250Ter (P)andc.562C&gt;T, p.Arg188Cys (P) | Present case</t>
  </si>
  <si>
    <t xml:space="preserve">Late‐Onset Tay–Sachs Disease With SMALED‐Like Muscle MRI Pattern Despite a Distinct Clinical Phenotype</t>
  </si>
  <si>
    <t xml:space="preserve">Background: Late‐onset Tay–Sachs disease (LOTS) is a rare lysosomal disorder that contrasts with the classical infantile form by presenting with milder and heterogeneous neurological manifestations, including lower motor neuron phenotypes. While muscle MRI fatty infiltration patterns have been described in selected inherited motor neuron disorders, the corresponding imaging features in LOTS remain poorly defined.
Case: We report two female patients presenting in the second decade of life with slowly progressive, lower limb–predominant flaccid weakness associated with tremor. Hip flexion and arm extension were disproportionately affected. Electromyography demonstrated a neurogenic pattern. Whole‐body muscle MRI (wbMRI) revealed selective fatty infiltration on T1‐weighted sequences with normal STIR imaging. At the pelvic and thigh levels, this pattern showed marked overlap with the characteristic fatty infiltration described in SMA with lower extremity predominance (SMALED), including relative sparing of the adductor longus and semimembranosus. In contrast, consistent additional involvement of the iliopsoas and triceps brachii muscles was observed. Whole‐exome sequencing identified compound heterozygous pathogenic variants in the HEXA gene in each patient, confirmed to be in trans, and enzymatic testing demonstrated reduced β‐hexosaminidase A activity.
Conclusion: LOTS may reproduce key elements of the SMALED muscle MRI fatty infiltration pattern, particularly at the pelvic and thigh levels, while maintaining a distinct clinical presentation. Recognition of this partial radiological overlap, together with its discriminative features, is important to avoid diagnostic misclassification and to guide appropriate genetic testing.</t>
  </si>
  <si>
    <t xml:space="preserve">Case 1, Case 2</t>
  </si>
  <si>
    <t xml:space="preserve">Tay–Sachs disease (TSD) is a rare autosomal recessive lysosomal storage disorder caused by deficiency of the α‐subunit of β‐hexosaminidase A (HexA), a heterodimeric enzyme composed of α and β subunits responsible for the degradation of GM2 gangliosides within lysosomes [1]. Pathogenic variants in HEXA impair GM2 catabolism, leading to progressive neuronal accumulation and neurodegeneration [1, 2].</t>
  </si>
  <si>
    <t xml:space="preserve">The clinical spectrum of TSD is largely determined by residual HexA activity. Severe enzyme deficiency, most often associated with null HEXA variants, causes the classic infantile form, characterized by early‐onset developmental regression, seizures, pyramidal signs, and rapid neurological deterioration, typically resulting in death in early childhood [1, 2]. In contrast, hypomorphic HEXA variants, frequently occurring in compound heterozygosity, allow partial enzymatic activity and give rise to later‐onset phenotypes with marked clinical heterogeneity [3]. In parallel, advances in diagnosis and increasing development of disease‐modifying strategies for GM2 gangliosidoses, including substrate reduction and gene‐based therapies currently under clinical investigation, have emphasized the importance of early and accurate identification of affected individuals [3, 4].</t>
  </si>
  <si>
    <t xml:space="preserve">sec:1 ¶3</t>
  </si>
  <si>
    <t xml:space="preserve">Late‐onset Tay–Sachs disease (LOTS) may present in adolescence or adulthood with a broad range of neurological manifestations, including cerebellar ataxia, psychiatric symptoms, dystonia, peripheral neuropathy, or neuromuscular syndromes, often complicating and delaying diagnosis [4, 5]. Among these, LOTS has been repeatedly reported in the differential diagnosis of amyotrophic lateral sclerosis and non‐5q spinal muscular atrophies (SMA) [3, 5, 6].</t>
  </si>
  <si>
    <t xml:space="preserve">sec:1 ¶4</t>
  </si>
  <si>
    <t xml:space="preserve">In presentations dominated by lower motor neuron involvement, patients typically exhibit slowly progressive weakness, reduced or absent reflexes, with neurogenic changes on electromyography, and absence of sensory involvement [3]. Classical clinical features, such as cerebellar ataxia, extrapyramidal signs, or cherry‐red macula, are frequently absent in this context. Nevertheless, specific patterns of weakness have been noted. Riboldi et al. described a characteristic predominance of hip flexion weakness in the lower limbs and disproportionate arm extension weakness in the upper limbs, referred to as the “triceps sign” [7]. Lower limb–predominant neurogenic weakness has also been described in LOTS, sometimes raising diagnostic consideration of non‐5q SMA [3, 8]. To date, imaging descriptions in LOTS are restricted to isolated cases or small series [3], lacking a systematic whole‐body muscle MRI (wbMRI) characterization.</t>
  </si>
  <si>
    <t xml:space="preserve">In this report, we describe two unrelated patients with LOTS presenting with a lower motor neuron syndrome characterized by lower limb predominance and disproportionate involvement of hip flexion and arm extension. wbMRI demonstrated selective fatty infiltration, with a pattern at the pelvic and thigh levels showing marked overlap with that described in SMA with lower extremity predominance (SMALED). However, consistent additional involvement of the iliopsoas and triceps muscles was observed, representing a distribution not previously described in SMALED.</t>
  </si>
  <si>
    <t xml:space="preserve">Case Report</t>
  </si>
  <si>
    <t xml:space="preserve">Case 1 was a 34‐year‐old woman born to nonconsanguineous parents, with normal birth, neurodevelopment, academic performance, and preserved cognition. At 13 years of age, she developed a symmetrical upper limb rest tremor. Over subsequent years, she experienced slowly progressive weakness predominantly affecting the lower limbs, with clear proximal predominance. From symptom onset, she reported disproportionate difficulty with activities requiring hip flexion, including climbing stairs, rising from a seated position, and getting into a car. Upper limb involvement emerged later, predominantly affecting arm extension and hand dexterity.</t>
  </si>
  <si>
    <t xml:space="preserve">Neurological examination at 25 years of age showed a waddling gait and Gowers' sign. Using the 0–5 Medical Research Council (MRC) scale demonstrated symmetric, nonlength‐dependent weakness: neck flexion 5, neck extension 5; arm abduction 3, arm adduction 4; elbow flexion 4+, elbow extension 2–3; wrist flexion 4, wrist extension 4+; finger extension 4, intrinsic hand muscles 4; hip flexion 2, hip extension 3; leg adduction 4+, leg abduction 4+; knee extension 3, knee flexion 4−; ankle dorsiflexion 2, ankle plantar flexion 2; toe extension 2, and toe flexion 2. Deep tendon reflexes were preserved in the upper limbs and absent in the lower limbs. A mild rest tremor was present without bradykinesia or rigidity. Sensory examination, cranial nerve examination, cognition, and fundoscopy were normal, with no cherry‐red macula, psychiatric or extrapyramidal features.</t>
  </si>
  <si>
    <t xml:space="preserve">Nerve conduction studies demonstrated normal sensory nerve action potentials and reduced compound muscle action potential amplitudes in the lower limbs. Electromyography in both upper and lower limbs showed diffuse chronic denervation with a proximal and non–length‐dependent distribution. MLPA analysis revealed two copies of SMN1.</t>
  </si>
  <si>
    <t xml:space="preserve">sec:2 ¶4</t>
  </si>
  <si>
    <t xml:space="preserve">Case 2 was a 32‐year‐old woman born to nonconsanguineous parents, with normal birth, neurodevelopment, and preserved cognitive function. At 15 years of age, she developed a mild, symmetrical, bilateral resting tremor affecting the upper limbs. In subsequent years, she experienced slowly progressive, predominantly proximal weakness, more marked in the lower limbs. Similar to Case 1, she reported difficulties performing activities dependent on hip flexion. In early adulthood, she developed frequent falls, becoming wheelchair dependent for long distances by 21 years of age. Upper limb weakness emerged later, at age 25, predominantly affecting arm extension.</t>
  </si>
  <si>
    <t xml:space="preserve">Case 2</t>
  </si>
  <si>
    <t xml:space="preserve">sec:2 ¶5</t>
  </si>
  <si>
    <t xml:space="preserve">Neurological examination at 19 years of age revealed a highly similar pattern of non–length‐dependent weakness, as shown in power examination graded by the 0–5 MRC scale: neck flexion 5, neck extension 5; arm abduction 3, arm adduction 4; elbow flexion 4+, elbow extension 2–3; wrist flexion 4, wrist extension 4+; finger extension 4, intrinsic hand muscles 4; hip flexion 2, hip extension 3; leg adduction 4+, leg abduction 4+; knee extension 3, knee flexion 4−; ankle dorsiflexion 2, ankle plantar flexion 2; toe extension 2, and toe flexion 2. Deep tendon reflexes, sensory, cranial nerve, cognitive, and extrapyramidal examinations were normal.</t>
  </si>
  <si>
    <t xml:space="preserve">Whole‐exome sequencing (WES) in Case 1 identified two heterozygous HEXA variants (NM_000520.6): c.533G&gt;A (p.Arg178His) and c.782G&gt;A (p.Gly261Asp). The p.Arg178His variant is classified as pathogenic in ClinVar and has been repeatedly reported in TSD, including attenuated phenotypes, both in homozygosity and compound heterozygosity, consistently associated with late‐onset or subacute forms rather than infantile disease [9, 10]. The p.Gly261Asp variant affects a conserved residue, is predicted deleterious by in silico tools, and is absent in homozygosity in gnomAD v4. Sanger sequencing confirmed segregation in trans, supporting compound heterozygosity.</t>
  </si>
  <si>
    <t xml:space="preserve">sec:2 ¶8</t>
  </si>
  <si>
    <t xml:space="preserve">In Case 2, WES identified two heterozygous HEXA variants: c.1495C&gt;T (p.Arg499Cys) and c.805G&gt;A (p.Gly269Ser), both classified as pathogenic in ClinVar and affecting conserved residues. β‐Hexosaminidase analysis showed markedly reduced absolute HexA activity (129 nmol/h/mL; reference 550–1675), reduced total hexosaminidase activity, and a reduced relative HexA fraction (38%), confirming partial HexA deficiency.</t>
  </si>
  <si>
    <t xml:space="preserve">wbMRI in both patients demonstrated a symmetric pattern of selective fatty infiltration on T1‐weighted sequences with normal STIR imaging, indicating a chronic, noninflammatory process. Fatty infiltration predominantly affected the triceps brachii in the upper limbs; the iliopsoas, gluteus medius, and gluteus minimus at the pelvic level; and anterior and posterior compartments of the thighs and legs, with relative sparing of the adductor longus, semitendinosus, and, to a lesser extent, toe extensors (Figure 1).</t>
  </si>
  <si>
    <t xml:space="preserve">sec:2 ¶10</t>
  </si>
  <si>
    <t xml:space="preserve">Whole‐body MRI patterns from both LOTS patients were systematically compared with those from two age‐ and sex‐matched patients from our cohort with genetically confirmed BICD2‐related SMALED, used as a reference for the canonical SMALED imaging pattern. A structured qualitative assessment based on the Mercuri 5‐point fatty infiltration scale was applied. Muscles were classified as spared (≤ 1), involved (≥ 2), or variable if discordant across patients. This comparative approach demonstrated a marked overlap between LOTS and SMALED at the pelvic and thigh levels, with consistent additional involvement of the iliopsoas and triceps muscles in LOTS (Figure 1 and Table 1).</t>
  </si>
  <si>
    <t xml:space="preserve">Discussion</t>
  </si>
  <si>
    <t xml:space="preserve">Spinal muscular atrophy with lower extremity predominance (SMALED) represents a subgroup of non‐5q SMA classically associated with pathogenic variants in DYNC1H1 (SMALED1) and BICD2 (SMALED2) [11, 12]. Although genetically distinct, these conditions converge mechanistically on impaired axonal motor transport, either through direct disruption of the dynein motor complex or through altered cargo recruitment. This shared pathogenic pathway is also reflected in overlapping imaging features, with lower limb–predominant involvement and a characteristic pattern of muscle fatty infiltration on MRI, particularly at the pelvic and thigh levels, with predominant involvement of the gluteus minimus and medius, vasti muscles, semimembranosus, biceps femoris long head, and sartorius, alongside relative sparing of the adductor muscles, semitendinosus, and gracilis. In the legs, diffuse fatty infiltration with relative preservation of toe extensors and peroneal muscles has been consistently reported [13, 14, 15, 16]. This imaging signature is widely used to guide targeted genetic testing and to support variant interpretation in DYNC1H1 and BICD2. By contrast, consistent involvement of specific upper limb muscles has not been systematically described in SMALED.</t>
  </si>
  <si>
    <t xml:space="preserve">Although LOTS is a recognized cause of lower motor neuron syndromes and has been reported in the differential diagnosis of amyotrophic lateral sclerosis and adult‐onset non 5q SMA, its muscle MRI characteristics remain poorly characterized and are rarely incorporated into diagnostic algorithms [3, 5]. In both of our patients, wbMRI demonstrated a pattern showing overlap with the canonical SMALED radiological signature, particularly at the pelvic and thigh levels. However, this overlap was incomplete and accompanied by consistent additional involvement of the triceps brachii in the upper limbs and the iliopsoas at the pelvic level, a distribution not described in BICD2‐ or DYNC1H1‐related SMALED. The use of BICD2‐related SMALED as the imaging comparator reflects the availability of muscle MRI data from our cohort. DYNC1H1‐related SMALED was not directly included because comparable images were unavailable, but the available literature supports a highly overlapping canonical SMALED radiophenotype across BICD2‐ and DYNC1H1‐related disease [16]. Therefore, the absence of DYNC1H1 images should be considered a limitation of the visual comparison rather than evidence against including DYNC1H1‐related SMALED in the differential diagnosis.</t>
  </si>
  <si>
    <t xml:space="preserve">sec:3 ¶3</t>
  </si>
  <si>
    <t xml:space="preserve">While the lower limb pattern may resemble SMALED, the clinical phenotype in both patients is clearly divergent. This reinforces that muscle MRI, although highly informative, should not override clinical characterization in syndrome definition. Rather, the integration of clinical and imaging features provides a more reliable framework for differential diagnosis.</t>
  </si>
  <si>
    <t xml:space="preserve">sec:3 ¶4</t>
  </si>
  <si>
    <t xml:space="preserve">These observations also align with previously reported clinical features in LOTS, including preferential involvement of hip flexion and arm extension [7], and extend them to the radiological domain. Together with earlier reports of LOTS presenting with lower motor neuron syndromes ([3, 8]), our findings indicate that HEXA‐related disease can reproduce key elements of the SMALED muscle MRI pattern while maintaining a distinct clinical identity. Recognition of this partial radiological overlap, alongside its discriminative features, particularly upper limb involvement and selective iliopsoas and triceps fatty infiltration, may help refine the diagnostic evaluation of patients with suspected LOTS.</t>
  </si>
  <si>
    <t xml:space="preserve">This report highlights LOTS as an important differential diagnosis in patients presenting with lower motor neuron syndromes, particularly when muscle MRI demonstrates a pattern overlapping with that described in SMALED at the pelvic and thigh levels, alongside prominent involvement of the iliopsoas and triceps brachii muscles. Recognition of this presentation is clinically relevant for accurate diagnosis, genetic counseling, and appropriate referral in the context of emerging disease‐modifying therapies for GM2 gangliosidoses.</t>
  </si>
  <si>
    <t xml:space="preserve">Ethics Statement</t>
  </si>
  <si>
    <t xml:space="preserve">This case was approved by the local ethics committee.</t>
  </si>
  <si>
    <t xml:space="preserve">Consent</t>
  </si>
  <si>
    <t xml:space="preserve">The patient provided written informed consent for the use of her clinical data.</t>
  </si>
  <si>
    <t xml:space="preserve">sec:8 ¶1</t>
  </si>
  <si>
    <t xml:space="preserve">Conflicts of Interest</t>
  </si>
  <si>
    <t xml:space="preserve">The authors declare no conflicts of interest.</t>
  </si>
  <si>
    <t xml:space="preserve">Table TABLE 1</t>
  </si>
  <si>
    <t xml:space="preserve">MRC‐based muscle strength assessment and corresponding qualitative muscle MRI status in the two LOTS patients.</t>
  </si>
  <si>
    <t xml:space="preserve">Movement tested | Case 1 MRC | Case 2 MRC | Main contributing muscles considered | MRI status (HEXA/LOTS)</t>
  </si>
  <si>
    <t xml:space="preserve">Neck flexion | 5 | 5 | Sternocleidomastoid/scalene muscles | S</t>
  </si>
  <si>
    <t xml:space="preserve">Neck extension | 5 | 5 | Neck extensors | S</t>
  </si>
  <si>
    <t xml:space="preserve">Arm abduction | 3 | 3 | Deltoid and supraspinatus | V</t>
  </si>
  <si>
    <t xml:space="preserve">Arm adduction | 4− | 4 | Latissimus dorsi, pectoral and subscapularis muscles | V</t>
  </si>
  <si>
    <t xml:space="preserve">Elbow flexion | 4+ | 4+ | Biceps brachii/brachialis | S</t>
  </si>
  <si>
    <t xml:space="preserve">Elbow extension | 2–3 | 3 | Triceps brachii | I</t>
  </si>
  <si>
    <t xml:space="preserve">Wrist flexion | 4 | 4 | Anterior forearm compartment | S</t>
  </si>
  <si>
    <t xml:space="preserve">Wrist extension | 4+ | 4+ | Posterior forearm compartment | S</t>
  </si>
  <si>
    <t xml:space="preserve">Finger extension | 4 | 4 | Posterior forearm/extensor compartment | S</t>
  </si>
  <si>
    <t xml:space="preserve">Intrinsic hand muscles | 4− | 4 | Intrinsic hand muscles | Not directly scored</t>
  </si>
  <si>
    <t xml:space="preserve">Hip flexion | 2 | 2 | Iliopsoas | I</t>
  </si>
  <si>
    <t xml:space="preserve">Hip extension | 3 | 4− | Gluteus maximus and hamstrings | V</t>
  </si>
  <si>
    <t xml:space="preserve">Leg adduction | 4+ | 4 | Adductor longus, adductor magnus and pectineus | V</t>
  </si>
  <si>
    <t xml:space="preserve">tab:1 r15</t>
  </si>
  <si>
    <t xml:space="preserve">Leg abduction | 4− | 4+ | Gluteus medius/minimus | I</t>
  </si>
  <si>
    <t xml:space="preserve">tab:1 r16</t>
  </si>
  <si>
    <t xml:space="preserve">Knee extension | 3 | 3 | Quadriceps femoris | I</t>
  </si>
  <si>
    <t xml:space="preserve">tab:1 r17</t>
  </si>
  <si>
    <t xml:space="preserve">Knee flexion | 4− | 4 | Hamstrings | V</t>
  </si>
  <si>
    <t xml:space="preserve">tab:1 r18</t>
  </si>
  <si>
    <t xml:space="preserve">Ankle dorsiflexion | 2 | 2 | Tibialis anterior and toe extensors | V</t>
  </si>
  <si>
    <t xml:space="preserve">tab:1 r19</t>
  </si>
  <si>
    <t xml:space="preserve">Ankle plantar flexion | 2 | 2 | Gastrocnemius, soleus and long toe flexors | I</t>
  </si>
  <si>
    <t xml:space="preserve">tab:1 r20</t>
  </si>
  <si>
    <t xml:space="preserve">Toe extension | 2 | 2 | Long toe extensors | V</t>
  </si>
  <si>
    <t xml:space="preserve">tab:1 r21</t>
  </si>
  <si>
    <t xml:space="preserve">Toe flexion | 2 | 2 | Long toe flexors | I</t>
  </si>
  <si>
    <t xml:space="preserve">A Family Exhibiting Autosomal Dominant Inheritance of Multiple Acyl-Coenzyme A (CoA) Dehydrogenase Deficiency (MADD) Disease</t>
  </si>
  <si>
    <t xml:space="preserve">Multiple acyl-CoA dehydrogenase deficiency (MADD) is considered an autosomal recessive disorder; yet, recent findings suggest up to 10% of cases may result from heterozygous electron transfer flavoprotein dehydrogenase (ETFDH) variants exhibiting dominant or dominant-like effects. Here, a novel heterozygous ETFDH variant (c.1798A&gt;C, p.Asn600His) was identified within a three-generation family. The grandfather presented with muscular weakness at age 35, and the father developed similar symptoms at 19 following a tonsillectomy. Both were diagnosed with MADD based on muscle biopsies revealing neutral lipid accumulation and acylcarnitine profiles and responded fully to riboflavin therapy (150 mg/day). The two siblings, aged 8 and 10, carry the same mutation and show increased acyl-carnitine levels but remain asymptomatic due to early riboflavin treatment. Skin fibroblasts from affected individuals were immortalized and subjected to normal and reduced riboflavin levels. Gene expression analysis demonstrated unchanged ETFDH RNA but reduced protein levels in mutant cells, particularly under low riboflavin. Structural modelling suggested the Asn600His substitution destabilizes the protein, diminishing its mitochondrial function. Proximity ligation assays indicated a decreased interaction with mitochondrial complex III, while oxygen consumption via fatty acid oxidation was impaired, especially at reduced riboflavin. The novel ETFDH variant found in this family gives a possible dominant pattern of inheritance for MADD, where a single mutant allele impairs the mitochondrial metabolism, particularly under riboflavin-deficient conditions, and highlights the importance of early riboflavin supplementation in preventing clinical symptoms.</t>
  </si>
  <si>
    <t xml:space="preserve">daughter (III-2), father (II-1), grandfather (I-1), son (III-1)</t>
  </si>
  <si>
    <t xml:space="preserve">1. Introduction</t>
  </si>
  <si>
    <t xml:space="preserve">Electron Transfer Flavoprotein Dehydrogenase (ETF dehydrogenase—ETFDH—or electron transfer flavoprotein-ubiquinone oxidoreductase—ETFD:QO) is a key mitochondrial enzyme, and its dysfunction leads to multiple acyl-CoA dehydrogenation deficiency (MADD), an autosomal recessive congenital metabolic disorder [1]. Three clinical presentations of MADD are currently known: a severe form, that typically affects newborns and is usually fatal in the first weeks of life, characterized by metabolic acidosis, hypoglycaemia, hyperammonaemia with liver dysfunction, hypotonia, and congenital malformations (renal cysts) (type I); an infantile, less severe form, characterized by myopathy (muscle weakness, exercise intolerance, and muscle pain) and cardiac involvement, episodic hypoglycaemia and acidosis, and, possibly, neurological involvement (seizures, and encephalopathy) (type II); and a milder, late-onset form, characterized by myopathy and metabolic decompensation (type III) [2]. Although MADD is classically autosomal recessive, a meta-analysis indicates that some late-onset patients carry single heterozygous ETFDH variants. These variants might affect different residues on the protein’s sequence with a higher pathogenicity score, compared to biallelic variants [3].</t>
  </si>
  <si>
    <t xml:space="preserve">Specifically, ETFDH connects the beta-oxidation of fatty acids to the mitochondrial respiratory chain. The enzyme is a single protein embedded in the inner mitochondrial membrane, where it transfers electrons from oxidized fatty acids to ubiquinone (UQ) [4]. Structurally, ETFDH contains one molecule of flavin adenine dinucleotide (FAD), one 4Fe-4S cluster, and one UQ-binding site (Q site) [5]. The fatty acid oxidation spiral strips off two electrons during the formation of acetyl-CoA. Electrons are then transferred from ETFA-B to ETFDH, which, in turn, transfers them to UQ, reducing it to ubiquinol (UQH2). The reduction of UQ to UQH2 occurs in two steps: during the first round of the Q-cycle, one electron is transferred to reduce a first molecule of cytochrome c, while the second electron generates a semiquinone radical (UQH•); thereafter, a second cytochrome c is reduced and the semiquinone intermediate is stabilized and fully reduced to UQH2 at the level of the cytochrome b (Cytb) subunit of complex III (CIII) [5,6]. Specifically, ETFDH, CIII, and UQH2 are physically associated in a membrane complex in order to minimize electron leaks and the production of reactive oxygen species production [5]. By reducing two molecules of cytochrome c at the level of complex III derived from one acetyl-CoA generated by FAO, ETFDH plays a crucial role linking between fatty acids oxidation to ATP production (Figure 1) [7].</t>
  </si>
  <si>
    <t xml:space="preserve">Currently, MADD treatment includes a low-fat, low-protein, high-carbohydrate diet and supplementation with carnitine (if deficient), coenzyme Q10, and riboflavin (vitamin B2), an essential cofactor for ETFDH activity. Indeed, ETFDH is a flavoprotein requiring FAD for its activity. Since FAD is derived from riboflavin, a deficiency in riboflavin can impair ETFDH function, either decreasing its stability [8] or negatively affecting its interaction with complex III and mitochondrial electron transfer efficiency in MADD patients. For this reason, riboflavin supplementation may be beneficial in a subset of patients. This study describes the effects, at the cellular level, of a familial ETFDH variant (NM_004453.4: c.1798A&gt;C, p.Asn600His) not previously associated with MADD.</t>
  </si>
  <si>
    <t xml:space="preserve">2.1. Acylcarnitine Profiles</t>
  </si>
  <si>
    <t xml:space="preserve">In this study, we report the biochemical profile of a family (grandfather, father, and two siblings; Supplementary Figure S1) in which the two older subjects (grandfather and father) display symptoms associated with MADD. In both the father and the siblings, riboflavin induced a dramatic change in the acylcarnitine pattern, with a complete normalization in the youngest sibling (Table 1).</t>
  </si>
  <si>
    <t xml:space="preserve">2.2. Genetic Analysis</t>
  </si>
  <si>
    <t xml:space="preserve">The grandfather, the father, and the two siblings underwent Whole Exome Analysis; the only variation linked to the pathology was identified on the gene ETFDH, while, on the other genes linked to beta-oxidation, no other putative variations were found. The ETFDH (NM_004453.4): c.1798A&gt;C, p. (Asn600His) variant was classified as likely pathogenic according to the ACGS/ACMG-AMP criteria PM1_moderate, PP2_supporting, PM2_moderate, and PP3_supporting (https://franklin.genoox.com/clinical-db/home, accessed on 10 February 2026). This variant is present in population databases (rs770905850, gnomAD 0.003%) and has not been reported in the literature in individuals affected with ETFDH-related conditions.</t>
  </si>
  <si>
    <t xml:space="preserve">sec:4 ¶2</t>
  </si>
  <si>
    <t xml:space="preserve">Whole genome analysis in the father revealed no other putative nucleotide variations that could be causative of the disease. Interestingly, the inheritance pattern in the family appears to be autosomal-dominant, while MADD is a typical autosomal-recessive disorder.</t>
  </si>
  <si>
    <t xml:space="preserve">2.3. ETFDH Variant Detection and Allelic Expression Analysis</t>
  </si>
  <si>
    <t xml:space="preserve">To perform functional studies in vitro, we obtained primary skin fibroblasts from a punch biopsy and immortalized them by hTERT-Cdk4 viral transduction. The Sanger sequencing of cDNA confirmed the presence of the c.1798A&gt;C (p.Asn600His) ETFDH variant in RNA from fibroblasts of all the three affected family members, while the variant was absent in the healthy control (Supplementary Figure S2), thus representing a good cellular model for downstream analysis.</t>
  </si>
  <si>
    <t xml:space="preserve">daughter (III-2), father (II-1), son (III-1)</t>
  </si>
  <si>
    <t xml:space="preserve">To further assess if the inheritance pattern could be explained by allelic variance, digital PCR analysis further quantified the allelic expression, showing that the mutant and wild-type transcripts in fibroblasts from the patients were each expressed at approximately 50%, indicating no allele-specific transcript imbalance (Supplementary Figure S3).</t>
  </si>
  <si>
    <t xml:space="preserve">2.4. Structural Analysis of ETFDH Protein</t>
  </si>
  <si>
    <t xml:space="preserve">To evaluate the impact of the variation on the ETFDH structure, we exploited the AlphaFold 3 webserver to obtain a simulated three-dimensional structure of the protein (Figure 2) [9]. We observed that Asn600 is buried in the protein structure, near the 4Fe-4S motif and in contact with a structural loop (Figure 2A) using three hydrogen bonds (Figure 2C). The variant p.Asn600His, although not causing large structural changes, lowers the number of hydrogen bonds toward the loop (Figure 2B,D). The prediction from AlphaMissense [10] indicates this change as “pathogenic” with a score of 0.932 (1 being the maximum score for pathogenicity). The aminoacid is also highly conserved, present in mouse, rat, and drosophila (Supplementary Figure S4). This preliminary analysis indicates that the p.Asn600His change can influence protein stability and/or activity.</t>
  </si>
  <si>
    <t xml:space="preserve">2.5. Riboflavin Supplementation and ETFDH Protein Expression</t>
  </si>
  <si>
    <t xml:space="preserve">Aiming to confirm the in silico observation, we sought to assess the ETFDH protein levels. Fibroblasts from the affected father (HCM1) and his two children (HCM2 and HCM3) displayed approximately 50% of ETFDH protein levels (* = p &lt; 0.05; ** = p &lt; 0.01, one-way ANOVA) relative to the healthy control (HC0215) (Figure 3) even under standard riboflavin conditions, despite a similar mRNA expression (Figure 4A). Decreasing riboflavin concentrations (5 nM, 20 nM, 100 nM, and 500 nM) compared to standard culture medium (~1 μM riboflavin) were used to assess a minimum dose at which treatment can restore protein control levels. Western blot analysis showed no significant changes in ETFDH protein in HCM2, HCM3, or HC0215 cells under any of the tested conditions. In contrast, in HCM1 fibroblasts, the ETFDH protein expression was significantly lower in cells treated with 5 nM riboflavin compared with standard medium (Figure 4B, * = p &lt; 0.05, one-way ANOVA, Dunnett’s post-test). To assess if the effect of riboflavin on the ETFDH expression is due to the modulation of RNA levels, RT-qPCR analysis was performed on immortalized fibroblasts from the affected father (HCM1), the two siblings (HCM2 and HCM3), and a healthy control (HC0215). Cells were thus treated for one week under varying riboflavin concentrations (5 nM, 20 nM, 100 nM, and 500 nM, compared with the standard medium at ~1 µM), and assessed for ETFDH-specific mRNA expression. No statistically significant differences in ETFDH mRNA levels were observed at any of the tested riboflavin concentrations within each cell line compared with standard culture conditions (Figure 4A).</t>
  </si>
  <si>
    <t xml:space="preserve">Furthermore, to determine the mitochondrial mass and thus assessing if the reduction in mitochondrial ETFDH is due to the reduction in mitochondrial number/mass, an analysis of the mitochondrial number was performed using mitoRED staining (Supplementary Figure S5). No significant changes in riboflavin-supplemented cell lines were observed, while, after riboflavin withdrawal, only HCM1 displays a significantly increased mitochondrial content.</t>
  </si>
  <si>
    <t xml:space="preserve">2.6. Riboflavin Affects ETFDH and CIII Interactions</t>
  </si>
  <si>
    <t xml:space="preserve">To further explore the effects of riboflavin availability on mitochondrial protein interactions, proximity ligation assay (PLA) was performed on immortalized fibroblasts cultured for one week in either riboflavin-supplemented (1 µM) or riboflavin-depleted conditions (5 nM). We sought to quantify the interaction between ETFDH and complex III. Representative images from the healthy control line (HC0215) illustrate the distribution of the fluorescent PLA signal localized near the nucleus and throughout the cytoplasm (Figure 5, left).</t>
  </si>
  <si>
    <t xml:space="preserve">A quantitative analysis of the PLA signal revealed a significant reduction in the number of PLA dots per nucleus in HCM1 and HCM3 fibroblasts under riboflavin-depleted conditions compared to riboflavin-supplemented cells (* = p &lt; 0.05; ** = p &lt; 0.01, unpaired t test) (Figure 5C,E), indicating a reduction in the interaction between ETFDH and complex III. In contrast, no significant differences were observed in HCM2 or in the healthy control cell line HC0215 (Figure 5B,D). The absence of a significant difference in HCM2 is possibly due to the age of the patient, being the youngest of the family. These findings indicate a riboflavin-dependent modification of ETFDH and complex III interactions in a subset of patient-derived fibroblasts, consistent with a cell-line-specific vulnerability to flavin depletion.</t>
  </si>
  <si>
    <t xml:space="preserve">2.7. Analysis of Mitochondrial Respiratory States</t>
  </si>
  <si>
    <t xml:space="preserve">To further assess the effect of riboflavine depletion, we decided to use HRR that permits the analysis of the respiratory state, separating them by the use of specific mitochondrial inhibitors. Using this approach, we estimate the oxygen consumption rate when octanolyl-carnitine (OCT) was used as the substrate and we found that, in low riboflavin concentrations (5 nM), the oxygen consumption was lower in respect to the standard riboflavine concentration (1 µM) in all the patients cell lines (HCM1, HCM2, and HCM3) but not in controls (HC0125) (Figure 6, * p &lt; 0.05, ANOVA, Bonferroni’s correction).</t>
  </si>
  <si>
    <t xml:space="preserve">3. Discussion</t>
  </si>
  <si>
    <t xml:space="preserve">Although Multiple Acyl-CoA Dehydrogenase Deficiency (MADD) is typically considered an autosomal recessive disorder, recent data suggest that a non-negligible fraction of patients may carry only a single pathogenic ETFDH allele. In fact, a recent meta-analysis found that approximately 10% of late-onset MADD patients harbour a single heterozygous ETFDH variant with a milder phenotype compared to bi-allelic carriers, raising the possibility of more complex inheritance or non–loss-of-function mechanisms [3]. Consistently, the family described here presents a clinically significant phenotype (fatigue, high carnitine levels, and lipid accumulation in muscles) carrying only one copy of the ETFDH c.1798A&gt;C (p.Asn600His) variant. The presence of symptoms in both the grandfather and the father—despite carrying only one mutated allele—is unexpected for a recessive disorder and strongly supports a dominant or haploinsufficient contribution of this specific variant. Furthermore, the children display an altered acylcarnitine profile, compatible with MADD, further strengthening the dominant model of inheritance. Whole genome analysis (as suggested by Zhang et al., 2025) [3] did not reveal a “hidden” variant in the ETFDH gene. Indeed, these observations could suggest a dominant mode of inheritance; however, further data (i.e., the same mutation in other families, unrelated to this one) are needed to truly confirm the dominant pattern.</t>
  </si>
  <si>
    <t xml:space="preserve">At the transcript level, digital PCR demonstrated an equal distribution of wild-type and mutant alleles (50% each), indicating that no allelic imbalance occurs. However, despite the equal transcript abundance, the total ETFDH protein levels were reduced by approximately 50% or more. This discrepancy between transcript levels and protein abundance indicates that the mutation does not affect transcription, but, rather, impairs post-transcriptional processes such as folding, stability, or degradation, as previously shown for other mutations [11,12].</t>
  </si>
  <si>
    <t xml:space="preserve">In the absence of clear evidence defining a functional threshold for ETFDH, it cannot be assumed that a 50% residual activity is always clinically benign; Lupica et al. identified three patients carrying a single pathogenic variation in heterozygosity, in which the protein levels were reduced [13]. Indeed, most carriers of ETFDH variants remain asymptomatic, but a subset of patients—possibly exposed to additional stressors or presenting specific variants—develop disease with different degrees of morbidity despite the heterozygosity [14]. Consistent with these previous observations, the variant found in this family possesses a high pathogenic score. Furthermore, a recent study demonstrated that ETFDH is physically associated with complex III and is required for normal CIII activity and OXPHOS efficiency in the skeletal muscle, supporting the view that ETFDH is fundamental not only in fatty acid oxidation but also as an integral component of a broader respiratory metabolon [5]. The variation described in our study lies within the C-terminal 4Fe-4S domain, which mediates the electron transfer from ETFDH to ubiquinone (UQ). This variation decreases the number of hydrogen bonds linking an unstructured loop with an α-helix, possibly destabilizing the three-dimensional architecture of the UQ-binding/4Fe-4S domain (Figure 1). Indeed, variants affecting this region have been shown to severely impair the ETFDH-mediated electron flow and protein stability [15,16]. Structural protein modelling indicated also that the Asn600His substitution likely reduces protein stability. Thus, the p.Asn600His variant may destabilize the ETFDH protein, reducing its amount and lowering its ability to interact with complex III and thus decreasing the efficiency of the fatty-acid-derived electron transfer into the respiratory chain [17]. Further work is needed to experimentally assess the protein stability and recycling, currently outside the scope of the present work.</t>
  </si>
  <si>
    <t xml:space="preserve">sec:10 ¶4</t>
  </si>
  <si>
    <t xml:space="preserve">Indeed, a previous work has demonstrated that ETFDH dysfunction can affect not only fatty acid oxidation but also UQ homeostasis and respiratory-chain activity [4,18]. It is thus possible to hypothesize also a dominant-negative mechanism, where the mutant ETFDH protein improperly binds ETF-A/B or UQ, trapping electrons and preventing efficient turnover [18]. In this case, the mutant protein may exert a dominant-negative-like effect by competing with the wild-type protein for essential cofactors or interaction partners (such as ETF, FAD, components of the ETF–ETFDH–UQ axis, or complex III), providing then another possible causative explanation for the observation that, in this family, heterozygous carriers exhibit clinical symptoms. Further work is needed to confirm this hypothesis, also assessing other genetic variants in the same domain to determine if a general mechanism is present.</t>
  </si>
  <si>
    <t xml:space="preserve">sec:10 ¶5</t>
  </si>
  <si>
    <t xml:space="preserve">Functionally, the reduced levels of total ETFDH protein were accompanied by decreased mitochondrial respiration in the FAO pathway (in the reduced riboflavin condition), while the total mitochondrial mass/number is unchanged (Supplementary Figure S5), indicating, once more, a defect in the electron chain transport from ETFDH to complex III. Moreover, mutant cells display a reduced association of ETFDH with complex III in the absence of riboflavin supplementation. These defects are consistent with the impaired electron transfer within the ETF–ETFDH–UQ axis, as indicated by the HRR results, where, in the depleted-riboflavin condition, the respiration rate is reduced in patients’ cells, while it does not change in control fibroblasts, suggesting, then, a defect in the entry of electrons’ mitochondrial respiratory chain from the fatty acid oxidation pathway. Under the conditions of limited riboflavin availability, the mitochondrial FAD is reduced and mutant ETFDH stability is impaired, as has been demonstrated by Xu et al. in other model systems [12]. Our results indicate that, when riboflavin was supplemented, mutant ETFDH rescued the interaction with complex III, accompanied by an overall improvement in cellular respiration. These effects are consistent with the known clinical response to riboflavin therapy, indicating that the biochemical defects caused by the mutation are at least partially reversible.</t>
  </si>
  <si>
    <t xml:space="preserve">Interestingly, despite these molecular and bioenergetic defects, we did not observe significant differences in the mitochondrial membrane potential (Δψ) between patient fibroblasts and controls, both in the basal or under reduced riboflavin condition (Supplementary Figure S6). This observation reflects the finding detected in HRR, where only in the FAO pathway is the OCR reduced, while the total electron transfer capacity (ETC) is preserved. Indeed, ROS levels also did not show any changes (except for the father’s HCM1 cell line) (Supplementary Figure S7), indicating that the pathogenic mechanism relies only on the loss of electron flux from the FAO pathway. Together, these data support a model in which the p.Asn600His variant acts through a structurally disruptive mechanism, by reducing the total protein abundance, impairing the ETFDH function, and, ultimately, altering the mitochondrial energy metabolism even in the presence of one intact allele. This mechanistic insight may contribute to a better understanding of rare dominant presentations of riboflavin-responsive MADD and highlights the importance of evaluating the ETFDH protein stability and electron transfer efficiency in addition to genetic status alone.</t>
  </si>
  <si>
    <t xml:space="preserve">4.1. Study Sample</t>
  </si>
  <si>
    <t xml:space="preserve">The family was enrolled at the Rare Disease Unit of IRCCS Burlo Garofolo (Trieste, Italy). The study was conducted in accordance with the Declaration of Helsinki and approved by the Ethics Committee of I.R.C.C.S. “Burlo Garofolo” (protocol code 02/2024 22.02.2024 approved on 28 March 2024). Informed consent was obtained from all subjects involved in the study. It comprised a grandfather (71 years old) (I-1 in Supplementary Figure S1), father (45 years old) (II-1 in Supplementary Figure S1), both with a biochemical and histological diagnosis of MADD, and his daughter and his son (8 and 10 years old, respectively) (III-2 and III-1, respectively, in Supplementary Figure S1). Family history was carefully collected for all recruited individuals, including geographical origin and potential consanguinity. No family was found to originate from a genetic isolate or to report known consanguinity within the last three generations.</t>
  </si>
  <si>
    <t xml:space="preserve">Specifically, the grandfather developed progressive muscle weakness in his thirties and was diagnosed with MADD based on muscle biopsy showing lipid accumulation and an altered blood acylcarnitine profile. At 19 years of age, the father developed muscle weakness following tonsillectomy and was subsequently diagnosed with MADD based on biochemical laboratory findings (elevated blood acylcarnitine levels) and mild lipid accumulation on muscle biopsy. In both patients, symptoms receded with riboflavin therapy (150 mg/day). Despite an altered blood acylcarnitine profile, the children were asymptomatic; nevertheless, riboflavin was administered as a preventive measure at a very early age (after weaning). All family members carried underwent Whole Exome Analysis and the only variant found linked to the phenotype is the ETFDH variant (NM_004453.4) c.1798A&gt;C in heterozygosity.</t>
  </si>
  <si>
    <t xml:space="preserve">sec:13 ¶1</t>
  </si>
  <si>
    <t xml:space="preserve">4.2. Cell Culture</t>
  </si>
  <si>
    <t xml:space="preserve">Primary skin fibroblasts derived from a punch biopsy from the father and the two children were cultured in DMEM high-glucose supplemented with l-glutamine, 10% fetal bovine serum (FBS) and 1% penicillin/streptomycin, and vitamin solution (MEM, EuroClone, Milan, Italy, ECM0556D). Cultures were maintained at 37 °C and 5% CO2 following standard procedures. Cells were immortalized using a cell immortalization kit from ABM (Lenti-hTERT Virus, ABM, Richmond, BC, Canada) and these cell lines were employed in all experiments. Cell lines identification: HCM1 from father (II-1 Supplementary Figure S1), HCM2 from daughter (III-2 Supplementary Figure S1), and HCM3 from son (III-1 Supplementary Figure S1).</t>
  </si>
  <si>
    <t xml:space="preserve">4.3. Riboflavin Treatment</t>
  </si>
  <si>
    <t xml:space="preserve">The cells were tested for the experiments in a riboflavin-depleted medium composed by a customized Minimum Essential Medium without riboflavin (ME23747, Grand Island, NY, USA) and dialyzed FBS. Different concentrations of riboflavin (R9504, Merck, Rahway, NJ, USA) were supplemented in the medium (500 nM, 100 nM, 20 nM, and 5 nM; riboflavin concentration in standard medium is 1 μM). Cells were treated with riboflavin for one week and the medium was changed twice per week. All the experiments were carried out on the 7th day of treatment.</t>
  </si>
  <si>
    <t xml:space="preserve">4.4. Quantitative PCR</t>
  </si>
  <si>
    <t xml:space="preserve">RNA from the cells was extracted using Quick RNA Micro Prep (R1050, Zymo Research, Irvine, CA, USA) following manufacturer’s instructions and quantified using NanoDrop (Implen, Munchen, Germany). Purified RNA (1 μg) was retrotranscribed into cDNA using the High-Capacity cDNA Reverse Transcription Kit (4374967, Thermo Fisher Scientific, Waltham, MA, USA) following the manufacturer’s instructions. Quantitative PCR (RT-RT-qPCR) was performed using TaqMan probes (Hs01031780 m1 ETFDH, Hs99999903 m1 ACTB) in a Thermal Cycle Real-Time System CFX Opus 96 (BIO-RAD, Hercules, CA, USA). The real-time PCR protocol consists of an initial step for 10 min at 95 °C, followed by 40 cycles of heating at 95 °C (15 s), and 60 °C (1 min). β-Actin was selected as a housekeeping gene to normalize the mRNA levels. The relative expression of mRNAs was determined with the comparative 2−ΔΔCt method. All experiments were carried out in duplicate, and the reproducibility of the observations was confirmed in at least three independent experiments.</t>
  </si>
  <si>
    <t xml:space="preserve">4.5. Whole Gene Sequencing</t>
  </si>
  <si>
    <t xml:space="preserve">Sequencing of the whole gene was performed by Eurofins Genomics (Eurofins Scientific, Vimodrone, Italy). Briefly, DNA from whole blood of the father (M1) was extracted, and sent to the company. There, the DNA was amplified with specific primer for NGS sequencing (amplicon sequencing) covering the entire ETFDH sequence, and sequenced using NovaSeq (Illumina, San Diego, CA, USA). Data were subsequently analysed using Emdgene software (V35.9) (Illumina, San Diego, CA, USA).</t>
  </si>
  <si>
    <t xml:space="preserve">4.6. Sanger Sequencing</t>
  </si>
  <si>
    <t xml:space="preserve">cDNA (10 ng) was amplified by PCR using the primers Forward: 5′-AGCCGGCACACTTAACCTTA-3′ and Reverse: 5′-GAGGTAGGAAGATGCTGCATTC-3′. Reactions were carried out with a thermostable fusion polymerase (1725310, iProof HF mix, BIORAD, Hercules, CA, USA) under the following cycling conditions: initial denaturation at 98 °C for 30 s; and 29 cycles of 98 °C for 10 s, 63 °C for 30 s, and 72 °C for 15 s; followed by a final extension at 72 °C for 5 min and storage at 4 °C until use. The resulting amplicon (474 bp) was purified and subjected to Sanger sequencing according to standard protocols.</t>
  </si>
  <si>
    <t xml:space="preserve">4.7. Digital PCR</t>
  </si>
  <si>
    <t xml:space="preserve">Allelic expression of the c.1798A&gt;C (p.Asn600His) ETFDH variant was quantified by digital PCR using 50 ng of cDNA from patient-derived fibroblasts. Digital PCR reactions were prepared according to the provided protocol: 1 μL of cDNA (~0.50 μg), 10 μL of 4× QIAcuityTM Probe PCR Master Mix (250102, Qiagen, Hilden, Germany), 2 μL of 20× primer-probe mix, and DNase/RNase-free water was added to achieve a final volume of 40 μL. The contents of each well were then transferred into the wells of a QIAcuityTM Nanoplate 26k 24-well nanoplate (250001, Hilden, Hilden, Germany), in which one reaction mix is separated into approximately 26,000 partitions. The nanoplate was sealed using the QIAcuity Nanoplate seal provided in the QIAcuity Nanoplate Kit. The PCR conditions were as follows: one cycle at 95 °C for 2 min, 40 cycle steps at 95 °C for 15 s, and 60 °C for 30 s. After PCR, the amplification target was identified by assessing the fluorescence in all positive partitions. In our experiment, the probe fluorophores were FAM (green) for mutated cDNA/HEX (yellow) for wild-type cDNA. Poisson statistics were employed to determine the average quantity of target DNA per partition. QIAcuity Software Suite 2.1.8.23 analyses the mutation frequencies in target samples as the absolute quantification of copies of each wild-type and mutant target present in the samples.</t>
  </si>
  <si>
    <t xml:space="preserve">sec:19 ¶1</t>
  </si>
  <si>
    <t xml:space="preserve">4.8. Immunoblot</t>
  </si>
  <si>
    <t xml:space="preserve">Proteins from the cells were extracted in a lysis Ripa buffer adding a protease inhibitor (1862208, Thermo Fisher, Waltham, MA, USA). Protein lysates were fractionated by SDS–PAGE and transferred onto nitrocellulose membranes for immunoblot analysis using the iBlot 2 Dry Blotting System (IB21001, Carlsbad, CA, USA). The primary monoclonal antibody anti-ETFDH (1:200—PA5100143 Invitrogen, Carlsbad, CA, USA), anti-ACTB (1:2000—8H10D10 Cell Signalling, Danvers, MA, USA) and secondary antibodies anti-rabbit (1:500) and anti-mouse (1:2000) were incubated using the iBind device (Invitrogen). Blots were revealed using the SuperSignal™ West Pico PLUS Chemiluminescent reagent (34577, Thermo Fisher, Waltham, MA, USA), and the intensity of the bands was quantified using a ChemiDoc MP imaging system (BioRad, Hercules, CA, USA) and ImageJ 2.16 analysis software.</t>
  </si>
  <si>
    <t xml:space="preserve">sec:20 ¶1</t>
  </si>
  <si>
    <t xml:space="preserve">4.9. Proximity Ligation Assay</t>
  </si>
  <si>
    <t xml:space="preserve">Cells were seeded at a density of 2500 cells per well and were cultured with riboflavin-supplemented medium (1 µM) or under riboflavin-depleted conditions (5 nM) for one week, changing the media twice a week in black 96-well plates (Primo Screening Plate 96 TC-treated (ECPCR0221, EuroClone, Milan, Italy), optimized for high-quality imaging). PLA experiments were performed using the Duolink In Situ Green Starter Kit Mouse/Rabbit (DUO92008 Merck, Rahway, NJ, USA) following the manufacturer’s instructions. Acquisition of the images was performed using a Zeiss LSM 900 Confocal instrument (ZEISS, Oberkochen, Germany). Images were processed using the software Zen Zeiss 3.8.</t>
  </si>
  <si>
    <t xml:space="preserve">sec:21 ¶1</t>
  </si>
  <si>
    <t xml:space="preserve">4.10. Mitochondrial Staining</t>
  </si>
  <si>
    <t xml:space="preserve">Cells were seeded at a density of 2500 cells per well and were cultured with riboflavin-supplemented medium (1 µM) or under riboflavin-depleted conditions (5 nM) or one week, changing the media twice a week in black 96-well plates (Primo Screening Plate 96 TC-treated (ECPCR0221 EuroClone)). The following day, the medium was replaced with a 200 nM solution of MitoTracker™ Dye (53271, Merck, Rahway, NJ, USA), diluted in Hanks’ Balanced Salt Solution (HBSS, ECB4006, Euroclone, Milan, Italy) and incubated for 30 min at 37 °C. Excess dye was removed by washing the cells twice with HBSS. Nuclei were stained with a mounting medium with DAPI (P36971, Thermo Fisher, Waltham, MA, USA). Acquisition of the images was performed using a Zeiss LSM 900 Confocal instrument. Images were processed using ImageJ 2.16 analysis software.</t>
  </si>
  <si>
    <t xml:space="preserve">sec:22 ¶1</t>
  </si>
  <si>
    <t xml:space="preserve">4.11. Mitochondrial Membrane Potential (ΔΨM) Determination</t>
  </si>
  <si>
    <t xml:space="preserve">Cells were seeded at a density of 4000 cells per well and were cultured with riboflavin-supplemented medium (1 µM) or under riboflavin-depleted conditions (5 nM) for one week, changing the media twice a week in black 96-well plates. (Primo Screening Plate 96 TC-treated (ECPCR0221, EuroClone, Milan, Italy)). JC-1 probe was used to determine the mitochondrial membrane potential (staining: 10 µM at 37 °C for 1 h, T3168, Thermo Fisher Scientific, Waltham, MA, USA), at the Cytation 5 Cell Imaging Multi-Mode Reader (Biotek, Winooski, VT, USA).</t>
  </si>
  <si>
    <t xml:space="preserve">sec:23 ¶1</t>
  </si>
  <si>
    <t xml:space="preserve">4.12. ROS Measurement</t>
  </si>
  <si>
    <t xml:space="preserve">Intracellular reactive oxygen species (ROS) were quantified using the CellROX™ Green reagent (C10444, Thermo Fisher, Waltham, MA, USA). Cells were seeded at a density of 4000 cells per well and were cultured with riboflavin-supplemented medium (1 µM) or under riboflavin-depleted conditions (5 nM) for one week, changing the media twice a week in black 96-well plates (Primo Screening Plate 96 TC-treated, EuroClone, Milan, Italy, ECPCR0221). A positive control was generated by exposing parallel wells to 400 μM H2O2 for 2 h. After treatment, cells were incubated with 5 µM CellROX™ Green for 30 min at 37 °C, washed twice with PBS, and maintained in phenol-red-free medium. Fluorescence was measured using a Cytation 5 Cell-Imaging Multi-Mode Reader (Biotek, Winooski, VT, USA) at excitation/emission 485/520 nm. Background fluorescence (dye-only wells) was subtracted, and ROS levels were normalized to cell number using parallel Hoechst staining.</t>
  </si>
  <si>
    <t xml:space="preserve">sec:24 ¶1</t>
  </si>
  <si>
    <t xml:space="preserve">4.13. Measurement of Mitochondrial Respiration</t>
  </si>
  <si>
    <t xml:space="preserve">Mitochondrial respiration was measured by high-resolution respirometry (HRR) using an Oroboros Nextgen O2k (Oroboros Instruments, Innsbruck, Austria). Immortalized patient-derived and control fibroblasts were cultured for one week, cultured with riboflavin-supplemented medium (1 µM) or under riboflavin-depleted conditions (5 nM). Cells were harvested, counted, and permeabilized with digitonin 1 mg/mL prior to loading; 1.5 × 106 cells were added to each 2 mL chamber containing MiR05 at 37 °C, and oxygen flux was recorded with DatLab 8v. Fatty acid oxidation was assessed using the substrate–uncoupler–inhibitor titration protocol SUIT-025 (https://wiki.oroboros.at/index.php/SUIT-025_O2_mt_D057 (accessed on 6 July 2025), with the following sequence of additions (final concentrations): ADP (1 mM), malate (0.1 mM), octanoylcarnitine (0.5 mM), cytochrome c (10 µM), and antimycin A (2.5 µM). In this protocol, electrons derived from β-oxidation converge at the Q-junction from two branches: acyl-CoA dehydrogenases → ETF → ETF:ubiquinone oxidoreductase (ETFDH), and matrix-dehydrogenase-derived NADH → complex I; malate is therefore required, and complex I-linked flux contributes to the F state. Outer mitochondrial membrane integrity was verified by the cytochrome c response (±5%), and all fluxes were corrected for residual oxygen consumption determined after antimycin A. Oxygen fluxes were corrected for residual oxygen consumption and normalized to cell number (pmol O2·s−1·10−6 cells). To obtain an internally normalized, mitochondrial-content-independent measure, FAO-supported respiration was additionally expressed as a flux control ratio relative to succinate-supported (OXPHOS/ET) capacity measured in the same SUIT-025 run. Data are from 3 independent experiments per condition.</t>
  </si>
  <si>
    <t xml:space="preserve">sec:25 ¶1</t>
  </si>
  <si>
    <t xml:space="preserve">4.14. Statistical Analysis</t>
  </si>
  <si>
    <t xml:space="preserve">Data were analysed using GraphPad Prism 10.2.3 (GraphPad Software LLC, San Diego, CA, USA). For multiple comparison analysis, ordinary one-way ANOVA, followed by Bonferroni or Dunnett correction was employed.</t>
  </si>
  <si>
    <t xml:space="preserve">Acylcarnitine profile of the patients (M1 = Father, M2 = Sibling 2, M3 = Sibling 1) before and after riboflavin treatment (B2). The symbol \ indicates the normalization of the parameter. C* indicates the specific acylcarnitine moiety, with numbers giving the –CH3 (methyl) side chain content. The typical MADD profile shows an increase in middle-(C6-C8-C10-C10:1 and C12) and long-(C14-C14:1-C16 and C16:1) chain acylcarnitines, as shown here in underlined values. It is possible to observe that a first treatment with riboflavin (B2) does not completely normalize parameters in father (M1) and older sibling (M2), while, in younger sibling (M3), it restores normality.</t>
  </si>
  <si>
    <t xml:space="preserve"> | M1 | B2 | M2 | B2 | M3 | B2 | Normal Ranges</t>
  </si>
  <si>
    <t xml:space="preserve">C0 | 58.71 | \ | 54.75 | \ | 41.06 | \ | 19.93–52.78</t>
  </si>
  <si>
    <t xml:space="preserve">C5DC + C6OH | 0.26 | 0.22 |  |  |  |  | 0.04–0.11</t>
  </si>
  <si>
    <t xml:space="preserve">C6 | 1.13 | 0.34 |  |  |  |  | 0.03–0.16</t>
  </si>
  <si>
    <t xml:space="preserve">C6DC | 0.44 | 0.18 |  |  |  |  | 0.03–0.13</t>
  </si>
  <si>
    <t xml:space="preserve">C8 | 5.07 | 1.31 | 2.33 | 0.66 | 0.93 | \ | 0.05–0.46</t>
  </si>
  <si>
    <t xml:space="preserve">C10 | 5.19 | 1.63 | 4.11 | 1.11 | 1.45 | \ | 0.09–0.87</t>
  </si>
  <si>
    <t xml:space="preserve">C10:1 | 1.16 | \ | 0.88 | \ | 0.51 | \ | 0.04–0.37</t>
  </si>
  <si>
    <t xml:space="preserve">C12 | 0.56 | \ | 0.46 | \ | 0.13 | \ | 0.03–0.25</t>
  </si>
  <si>
    <t xml:space="preserve">C12:1 | 0.24 | \ | 0.24 | \ |  |  | 0.03–0.25</t>
  </si>
  <si>
    <t xml:space="preserve">C14 | 0.13 | \ |  |  |  |  | 0.01–0.05</t>
  </si>
  <si>
    <t xml:space="preserve">C14:1 | 0.4 | 0.06 | 0.3 | \ |  |  | 0.03–0.23</t>
  </si>
  <si>
    <t xml:space="preserve">C14:2 | 0.11 | \ | 0.12 | \ | 0.06 | \ | 0.01–0.10</t>
  </si>
  <si>
    <t xml:space="preserve">C16 | 0.13 | \ |  |  |  |  | 0.04–0.12</t>
  </si>
  <si>
    <t xml:space="preserve">C16:1 | 0.05 | \ | 0.05 | \ |  |  | 0.01–0.04</t>
  </si>
  <si>
    <t xml:space="preserve">A Case of Familial Chylomicronemia Syndrome Caused by a Novel Homozygous GPIHBP1 Mutation Successfully Treated with the Selective PPARα Modulator Pemafibrate</t>
  </si>
  <si>
    <t xml:space="preserve">Aim: Familial chylomicronemia syndrome (FCS) is a rare disorder characterized by the accumulation of chylomicrons in the circulation due to genetic defects or autoantibodies affecting lipoprotein lipase (LPL), the key enzyme responsible for the metabolism of chylomicrons and very-low-density lipoproteins (VLDL), or its associated proteins, including apolipoprotein (apo) C-II, apoA-V, glycosylphosphatidylinositol-anchored high-density lipoprotein-binding protein 1 (GPIHBP1), and lipase maturation factor 1 (LMF1). This condition is associated with markedly elevated serum triglyceride (TG) levels and, in severe cases, recurrent episodes of pancreatitis and eruptive xanthomas. Among these etiologies, genetic deficiency of GPIHBP1 is exceedingly rare. We aimed to clarify the clinical and genetic basis and treatment strategies of a patient with GPIHBP1 deficiency. Methods: A 47-year-old woman with a childhood diagnosis of FCS presented with severe epigastric pain and was admitted to Rinku General Medical Center for emergency management of acute pancreatitis secondary to severe chylomicronemia. She had a history of severe hypertriglyceridemia complicated by pancreatitis during her first pregnancy and extreme hypertriglyceridemia exceeding 6,000 mg/dL during her second pregnancy without the development of pancreatitis. DNA sequence analysis was performed as a clinical diagnostic test and outsourced to KUBIX Inc. (Hakusan, Ishikawa, Japan). Results: Laboratory evaluation revealed marked hypertriglyceridemia (1,262 mg/dL) with a type V hyperlipoproteinemia pattern. Serum preheparin LPL mass was markedly reduced, and circulating GPIHBP1 was undetectable. Genetic analysis identified a novel homozygous frameshift mutation in theGPIHBP1 gene (NM_178172.4:c.20del [p.Val7AlafsTer73]), which has not been previously reported in public databases. No pathogenic variants were detected in other LPL-related genes. Acute pancreatitis improved rapidly with fasting and intravenous fluid therapy. Strict dietary fat restriction, followed by the addition of the selective PPARα modulator pemafibrate, successfully maintained TG levels below 500 mg/dL during follow-up. Conclusion: We report an extremely rare case of FCS caused by a novel homozygous mutation in theGPIHBP1 gene, in which pregnancy served as a major trigger for severe hypertriglyceridemia. Early diagnosis and strict lipid control are essential to prevent recurrent pancreatitis in patients with GPIHBP1 deficiency.</t>
  </si>
  <si>
    <t xml:space="preserve">Elevated fasting and non-fasting serum TG levels have been reported to be atherogenic and associated with an increased risk of atherosclerotic cardiovascular events 1 - 2) . Furthermore, markedly elevated TG levels are frequently associated with acute pancreatitis and eruptive xanthomas 3) . TG-rich chylomicrons are synthesized in the small intestine and secreted into the intestinal lymphatic system before entering the systemic circulation. The TG component of chylomicrons is hydrolyzed by LPL, resulting in the formation of chylomicron remnants. These remnants, enriched with apoE, are subsequently taken up by the liver via remnant receptors.</t>
  </si>
  <si>
    <t xml:space="preserve">The liver also synthesizes and secretes TG-rich VLDL. The TG component of VLDL is hydrolyzed by LPL, leading to the formation of intermediate-density lipoproteins (IDL), also referred to as VLDL remnants. Further hydrolysis of TG in these remnant lipoproteins by hepatic lipase (HL) ultimately results in the formation of low-density lipoproteins (LDL), which are enriched in cholesteryl esters. LDL particles are subsequently taken up by the liver and peripheral tissues via the LDL receptor. Thus, LPL plays a central role in the intravascular lipolysis of chylomicrons and VLDL.</t>
  </si>
  <si>
    <t xml:space="preserve">LPL is synthesized as an immature protein by parenchymal cells, including adipocytes, skeletal myocytes, and cardiomyocytes. LPL activity is regulated not only by its quaternary structure (monomer, dimer, or oligomer) but also by multiple proteins involved in the LPL pathway 4 - 6) . Lipase maturation factor 1 (LMF1) is essential for the proper folding and maturation of LPL prior to its secretion into the interstitial space.</t>
  </si>
  <si>
    <t xml:space="preserve">Glycosylphosphatidylinositol-anchored high-density lipoprotein-binding protein 1 (GPIHBP1) is an endothelial cell protein that anchors LPL on the luminal surface, thereby providing a platform for TG hydrolysis. GPIHBP1 captures LPL in the subendothelial (interstitial) space of peripheral tissues, transports it across endothelial cells to the luminal surface via transcytosis, and anchors it to the luminal membrane facing the bloodstream to facilitate intravascular lipolysis.</t>
  </si>
  <si>
    <t xml:space="preserve">In addition, two apolipoproteins, apoC-II and apoA-V, are critical regulators of LPL-mediated TG hydrolysis. ApoC-II is an essential cofactor required for LPL enzymatic activity. ApoA-V enhances the interaction between LPL and TG-rich lipoproteins by promoting the formation of a TG-rich lipoprotein/apoA-V/GPIHBP1/LPL complex through its dual binding affinity for TG-rich lipoproteins and GPIHBP1.</t>
  </si>
  <si>
    <t xml:space="preserve">sec:1 ¶6</t>
  </si>
  <si>
    <t xml:space="preserve">Hypertriglyceridemia may result from either overproduction or impaired catabolism of TG-rich lipoproteins due to dysfunction of molecules involved in their metabolism. Multifactorial chylomicronemia syndrome is more commonly attributed to the accumulation of multiple minor genetic variants causing polygenic hypertriglyceridemia, which is often exacerbated by secondary conditions or medications that increase TG levels. Aggravating factors include overweight or obesity, uncontrolled diabetes mellitus, excessive alcohol intake, chronic kidney disease, and pregnancy, as well as medications such as diuretics, nonselective beta-blockers, estrogen-containing compounds, and corticosteroids.</t>
  </si>
  <si>
    <t xml:space="preserve">sec:1 ¶7</t>
  </si>
  <si>
    <t xml:space="preserve">In both type 1 and type 2 diabetes, reduced or deficient insulin secretion from pancreatic β-cells, as well as insulin resistance, can contribute to hypertriglyceridemia, because the enzymatic activity of LPL is dependent on insulin action 7 - 8) . Diabetic lipemia refers to marked elevations in TG-rich lipoproteins, particularly chylomicrons and VLDL, observed in uncontrolled diabetes mellitus, especially in the setting of severe insulin deficiency. It is classically seen in patients with poorly controlled type 1 diabetes, advanced type 2 diabetes with insulin deficiency, and diabetic ketoacidosis.</t>
  </si>
  <si>
    <t xml:space="preserve">sec:1 ¶8</t>
  </si>
  <si>
    <t xml:space="preserve">In contrast, defects in proteins involved in the LPL pathway (LPL, LMF1, GPIHBP1, apoC-II, and apoA-V), resulting from genetic mutations or autoantibodies, can lead to primary chylomicronemia syndrome, which is characterized by severe hypertriglyceridemia and fasting chylomicronemia and predisposes affected individuals to acute pancreatitis. Rare monogenic mutations in the genes encoding LPL or its regulatory proteins—including apoC-II, apoA-V, GPIHBP1, and LMF1—cause familial chylomicronemia syndrome (FCS) 9 - 10) .</t>
  </si>
  <si>
    <t xml:space="preserve">sec:1 ¶9</t>
  </si>
  <si>
    <t xml:space="preserve">In the present study, we describe an extremely rare case of FCS caused by a novel homozygous mutation in the GPIHBP1 gene, in which pregnancy served as a major trigger for severe hypertriglyceridemia. Strict dietary fat restriction combined with treatment using the selective PPARα modulator pemafibrate effectively reduced serum TG levels.</t>
  </si>
  <si>
    <t xml:space="preserve">Lipid and Lipoprotein Analysis</t>
  </si>
  <si>
    <t xml:space="preserve">The patient was clinically evaluated at Rinku General Medical Center. Written informed consent was obtained for genetic testing, and verbal informed consent was obtained for publication of this case report.</t>
  </si>
  <si>
    <t xml:space="preserve">Serum lipids, apolipoproteins, and lipoproteins were measured as previously described 11) . The LPL mass was determined in preheparin plasma using a sandwich enzyme-linked immunosorbent assay (ELISA) 12) . Serum levels of apoA-V and GPIHBP1 were measured using previously described ELISA methods 13 - 14) .</t>
  </si>
  <si>
    <t xml:space="preserve">DNA Sequence Analysis</t>
  </si>
  <si>
    <t xml:space="preserve">DNA sequence analysis was performed as a clinical diagnostic test and outsourced to KUBIX Inc. (Hakusan, Ishikawa, Japan). Sequencing was conducted as previously described with minor modifications 15) . Genomic DNA extracted from the patient’s peripheral blood leukocytes was used to construct sequencing libraries using the KAPA Library Preparation System. A custom target enrichment panel was designed to capture all exons of 21 Mendelian genes associated with dyslipidemia, encompassing 14 distinct dyslipidemia-related disorders, including LPL, apoC-II, apoA-V, GPIHBP1, and LMF1.</t>
  </si>
  <si>
    <t xml:space="preserve">Target-enriched libraries were subjected to next-generation sequencing on the iSeq 100 platform (Illumina, San Diego, CA, USA). Paired-end reads were aligned to the human reference genome (GRCh38) using the Burrows–Wheeler Aligner (BWA) with the BWA-MEM algorithm. Variant calling was performed using GATK HaplotypeCaller.</t>
  </si>
  <si>
    <t xml:space="preserve">Case Presentation</t>
  </si>
  <si>
    <t xml:space="preserve">The patient had been diagnosed with primary chylomicronemia at a university hospital during infancy and was followed until preschool age, during which she was managed solely with dietary fat restriction. At 23 years of age, during her first pregnancy, she developed severe hypertriglyceridemia complicated by acute pancreatitis, requiring hospitalization. During her second pregnancy at 29 years of age, serum TG levels exceeded 6,000 mg/dL; however, she delivered without developing pancreatitis and subsequently discontinued outpatient follow-up.</t>
  </si>
  <si>
    <t xml:space="preserve">At 47 years of age, she was emergently transported to the Emergency Department of Rinku General Medical Center with severe epigastric pain. Based on markedly elevated pancreatic amylase levels, she was diagnosed with acute pancreatitis and admitted to the Department of Gastroenterology. She was subsequently referred to the Department of Diabetes, Endocrinology and Metabolism for further evaluation of severe hypertriglyceridemia.</t>
  </si>
  <si>
    <t xml:space="preserve">sec:5 ¶3</t>
  </si>
  <si>
    <t xml:space="preserve">In a dietary interview, her breakfast typically consisted of one slice of white bread with margarine and sweet toppings, along with coffee with milk, and occasionally fruit. Lunch was usually a boxed meal including a small portion of omelet, two frozen food items, vegetables, and sometimes okonomiyaki. Dinner always included rice and miso soup, with mainly chicken or pork dishes, and occasional fish. Side dishes included various stir-fried or simmered foods. She also consumed snacks such as rice crackers, chocolate, and ice cream, and drank coffee, tea, and other beverages. When eating out, she chose foods such as pizza, pasta, sushi, ramen, and yakiniku. Four days prior to the onset of abdominal pain, she had consumed approximately five to six pieces of grilled beef (yakiniku). Three days prior, she ate several servings of lettuce-wrapped pork. Two days before admission, she consumed four skewers of grilled chicken (yakitori), and on the day before hospitalization, she ate hotpot containing chicken.</t>
  </si>
  <si>
    <t xml:space="preserve">She did not consume alcohol and had never smoked. She was not receiving any lipid-lowering therapy and was taking medication only intermittently for migraine. She had no history of diabetes mellitus or thyroid disease.</t>
  </si>
  <si>
    <t xml:space="preserve">Her younger brother had experienced marked hypertriglyceridemia with recurrent episodes of acute pancreatitis. Other family members—including her parents, younger sister, two daughters, and the son of her hypertriglyceridemic brother—had no history of hypertriglyceridemia or pancreatitis. Her two daughters were unmarried, had never experienced pregnancy, and had normal TG levels. There was no family history of diabetes mellitus. The patient reported a history of consanguineous marriage in her family; however, the details were unclear.</t>
  </si>
  <si>
    <t xml:space="preserve">her younger brother, the patient</t>
  </si>
  <si>
    <t xml:space="preserve">On physical examination, she was not obese (height, 158 cm; weight, 53 kg; body mass index, 21.2 kg/m²). She was alert and oriented. Her body temperature was 37.3℃; blood pressure, 142/98 mmHg; heart rate, 76 beats/min and regular; respiratory rate, 16 breaths/min; and oxygen saturation, 98% on room air. No thyroid enlargement was noted. Abdominal examination revealed epigastric tenderness without rebound tenderness. No hepatosplenomegaly was detected. A single eruptive xanthoma was observed on the anterior tibial region. No Achilles tendon thickening was present.</t>
  </si>
  <si>
    <t xml:space="preserve">Results</t>
  </si>
  <si>
    <t xml:space="preserve">Table 1 summarizes the laboratory findings on admission, which demonstrated markedly elevated pancreatic amylase levels (2,905 U/L; reference range, 16–52 U/L), along with a slight increase in white blood cell count (9,510/µL; reference range, 3,100–8,400/µL) and C-reactive protein (CRP) (1.76 mg/dL; reference range, 0.00–0.30 mg/dL). The CRP level subsequently increased to 14.01 mg/dL on hospital day 5.</t>
  </si>
  <si>
    <t xml:space="preserve">Contrast-enhanced abdominal computed tomography (CT) revealed pancreatic enlargement with increased peripancreatic fat attenuation and mild dilation of the main pancreatic duct, findings consistent with acute pancreatitis. Splenomegaly was also observed ( Fig.1 ) .</t>
  </si>
  <si>
    <t xml:space="preserve">Lipid analysis revealed marked hypertriglyceridemia (TG 1,262 mg/dL), while LDL-C and HDL-C levels were markedly reduced. After standing at 4℃ for 24 hours, the serum separated into a creamy supernatant layer and a turbid infranatant layer ( Fig.2A ) . Polyacrylamide gel (PAG) disc electrophoresis of serum lipoproteins demonstrated a marked increase in chylomicrons and an elevated VLDL fraction, consistent with a type V hyperlipoproteinemia phenotype ( Fig.2B, C ) .</t>
  </si>
  <si>
    <t xml:space="preserve">Apolipoprotein analysis showed apoA-V levels of 381.8 ng/mL (reference range, 104–254 ng/mL) and apoC-II levels of 13.7 mg/dL (reference range, 1.5–3.8 mg/dL), with no evidence of deficiency. Because heparin administration may cause hemorrhagic complications, preheparin LPL mass was measured without heparin injection and was markedly reduced at 17 ng/mL (reference range, 45–63 ng/mL), suggesting impaired LPL activity. The serum GPIHBP1 level was below the limit of detection.</t>
  </si>
  <si>
    <t xml:space="preserve">Glucose metabolism and thyroid function tests were within normal limits, and all tested autoantibodies were negative. The ankle–brachial index (ABI) and cardio–ankle vascular index (CAVI) showed no evidence of atherosclerosis. Resting electrocardiography demonstrated normal sinus rhythm without ischemic changes.</t>
  </si>
  <si>
    <t xml:space="preserve">Genomic analysis was performed using hybrid capture–based targeted next-generation sequencing (NGS) covering protein-coding exon regions and adjacent intronic sequences. This analysis identified a novel homozygous mutation in the GPIHBP1 gene (NM_178172.4:c.20del [p.Val7AlafsTer73]) that has not been previously reported in public databases, including ClinVar ( Fig.3 ) . No pathogenic variants were detected in other genes associated with impaired LPL activity, including LPL, apoC-II, apoA-V, and LMF1.</t>
  </si>
  <si>
    <t xml:space="preserve">Following admission, acute pancreatitis improved rapidly with continued fasting and intravenous fluid therapy alone. On hospital day 3, a strict fat-restricted diet (≤ 15 g/day) was initiated. Both fasting and postprandial TG levels decreased to 202–270 mg/dL during hospitalization, and the patient was discharged on hospital day 13 ( Fig.4 ) . After discharge, conventional fat-restricted diet at home was started. Furthermore, since postprandial chylomicronemia (TG, 1262 mg/dL) was observed despite the initiation of a strict low-fat diet during hospitalization, pemafibrate—a selective peroxisome proliferator–activated receptor-α (PPARα) modulator (extended-release formulation, 0.4 mg/day)—was added to dietary management to prevent recurrent pancreatitis, considering the potential for postprandial increases in TG levels with her conventional fat-restricted diet at home. During follow-up, serum TG levels remained stable at approximately 214–489 mg/dL, with no recurrence of pancreatitis.</t>
  </si>
  <si>
    <t xml:space="preserve">Importance of GPIHBP1 in the Catabolism of Chylomicrons</t>
  </si>
  <si>
    <t xml:space="preserve">LPL is a key enzyme responsible for the hydrolysis of TG within the core of circulating chylomicrons and VLDL, thereby releasing free fatty acids for utilization by peripheral tissues such as skeletal muscle, cardiac muscle, and adipose tissue. In addition to its catalytic role in TG hydrolysis, LPL also interacts with cell-surface receptors to facilitate lipoprotein uptake, thereby contributing to lipid distribution through both catalytic and non-catalytic functions. FCS is caused by mutations in the LPL gene as well as in genes involved in LPL maturation or activity. Notably, more than 90% of FCS cases are attributable to mutations in the LPL gene.</t>
  </si>
  <si>
    <t xml:space="preserve">Among the genes regulating LPL function, GPIHBP1 plays a critical role by capturing LPL secreted into the interstitial space at the basolateral surface of vascular endothelial cells, transporting it across the endothelial cell via transcytosis, and anchoring LPL to the luminal endothelial surface. In doing so, GPIHBP1 provides the platform on which LPL hydrolyzes TG 16 - 17) . Loss-of-function mutations in the GPIHBP1 gene result in defective endothelial localization of LPL, leading to functional LPL deficiency and massive accumulation of circulating chylomicrons despite preserved or only mildly reduced LPL protein levels 18 - 20) .</t>
  </si>
  <si>
    <t xml:space="preserve">sec:8 ¶3</t>
  </si>
  <si>
    <t xml:space="preserve">In the present case, preheparin LPL mass was markedly reduced and circulating GPIHBP1 was undetectable, consistent with the classic biochemical phenotype of GPIHBP1 deficiency. Genetic analysis identified a novel homozygous frameshift mutation in the GPIHBP1 gene (NM_178172.4:c.20del [p.Val7AlafsTer73]) that has not been previously reported in public databases. Importantly, no pathogenic variants were detected in other genes involved in LPL maturation or activity, including LPL, apoC-II, apoA-V, and LMF1, supporting GPIHBP1 deficiency as the primary cause of the patient’s phenotype.</t>
  </si>
  <si>
    <t xml:space="preserve">sec:8 ¶4</t>
  </si>
  <si>
    <t xml:space="preserve">Mutations in the GPIHBP1 gene are exceedingly rare and account for fewer than 5% of all cases of FCS. Most previously reported pathogenic variants are missense mutations clustered within the conserved Ly6/uPAR (LU) domain, particularly affecting cysteine residues that are critical for disulfide bond formation and proper three-dimensional folding of the protein 18) . Disruption of these cysteine residues impairs LPL binding and endothelial transport, thereby abolishing intravascular lipolysis. In contrast, two variants were detected in the exon 1 of GPIHBP1, both in the homozygous state. One of them was a deletion of a thymine (“T”), which results in a frameshift. The present patient harbored a homozygous novel frameshift variant located near the extreme N-terminus, c.20del (p.Val7AlafsTer73). This deletion occurs within the region encoding the signal peptide and results in a premature termination codon at amino acid position 73 ( Fig.3 ) . Given that the mature GPIHBP1 protein consists of 184 amino acids and contains a structured Ly6 domain required for LPL binding and stabilization, this early truncation would completely prevent formation of the Ly6 domain. The predicted truncated protein would lack the characteristic disulfide-bonded LU domain as well as the C-terminal hydrophobic sequence required for glycosylphosphatidylinositol (GPI) anchoring. Therefore, this variant is expected to abolish endothelial localization and LPL transport, representing a complete loss-of-function allele and predicting a severe phenotype.</t>
  </si>
  <si>
    <t xml:space="preserve">sec:8 ¶5</t>
  </si>
  <si>
    <t xml:space="preserve">Analysis of previously reported cases 21) indicated that TG levels are severely elevated, with most values clustering between 673~40,141 mg/dL (mean approximately 5,000–6,000 mg/dL, influenced by extreme outliers). It remains unclear why our patient exhibited only modest TG elevation under strict dietary fat restriction despite the apparent absence of functional GPIHBP1. Eruptive xanthomas were present in approximately 30% of patients, while acute pancreatitis occurred in roughly half of cases. These findings highlight the heterogeneity of clinical phenotypes, with eruptive xanthomas present in only a subset of patients despite uniformly severe hypertriglyceridemia.</t>
  </si>
  <si>
    <t xml:space="preserve">sec:8 ¶6</t>
  </si>
  <si>
    <t xml:space="preserve">From a pathogenicity standpoint, this variant fulfills the ACMG/AMP criteria for pathogenic classification. Specifically, it meets PVS1 (very strong evidence), as it is a null variant (frameshift) in a gene where loss of function is an established disease mechanism. In addition, the absence of this variant in population databases such as gnomAD supports PM2 (moderate evidence), and the patient’s phenotype—lifelong severe chylomicronemia with recurrent pancreatitis—is highly specific for GPIHBP1 deficiency, supporting PP4 (supporting evidence). Taken together, these criteria strongly support classification of c.20del (p.Val7AlafsTer73) as a pathogenic variant.</t>
  </si>
  <si>
    <t xml:space="preserve">sec:8 ¶7</t>
  </si>
  <si>
    <t xml:space="preserve">Importantly, because the truncation occurs upstream of the Ly6 structural domain, this mutation is predicted to have a more profound functional impact than many previously reported missense variants that partially preserve protein folding. The extremely early stop codon may also trigger nonsense-mediated mRNA decay, further reducing or eliminating protein expression. This molecular mechanism is consistent with the undetectable circulating GPIHBP1 level observed in our patient and the markedly reduced preheparin LPL mass, reinforcing the biological plausibility of complete GPIHBP1 deficiency. To our knowledge, this variant has not been reported in ClinVar, HGMD, or other public mutation databases, indicating that it represents a novel and exceptionally rare pathogenic mutation that expands the mutational spectrum of GPIHBP1 deficiency.</t>
  </si>
  <si>
    <t xml:space="preserve">sec:8 ¶8</t>
  </si>
  <si>
    <t xml:space="preserve">Interestingly, the markedly low preheparin LPL mass observed in this case is consistent with previous reports of GPIHBP1 deficiency, in which reduced circulating LPL levels have also been described 17 , 19) . Mechanistically, GPIHBP1 plays a critical role in transporting LPL from the interstitial spaces to the luminal surface of capillary endothelial cells, where LPL mediates the hydrolysis of TG-rich lipoproteins. In the absence of functional GPIHBP1, LPL fails to reach the capillary lumen and may instead be retained within tissues and subjected to intracellular degradation, resulting in reduced levels of circulating LPL. Therefore, the low preheparin LPL mass in this patient likely reflects impaired LPL trafficking and stability rather than decreased LPL synthesis. This interpretation is consistent with the concept that GPIHBP1 deficiency causes a functional LPL deficiency despite preserved production.</t>
  </si>
  <si>
    <t xml:space="preserve">Pregnancy as a Trigger for Severe Hypertriglyceridemia and Pancreatitis</t>
  </si>
  <si>
    <t xml:space="preserve">Pregnancy represents a potent physiological stressor of TG metabolism, characterized by estrogen-mediated upregulation of hepatic VLDL production, progressive insulin resistance, and relative suppression of intravascular lipolysis 22 - 23) . These coordinated metabolic adaptations normally result in only moderate elevations of TG levels; however, in individuals with underlying defects in the LPL–GPIHBP1 axis, the marked increase in TG-rich lipoprotein production can overwhelm already compromised clearance pathways, leading to extreme hypertriglyceridemia 24) .</t>
  </si>
  <si>
    <t xml:space="preserve">Pregnancy-associated hypertriglyceridemia has been strongly linked to an increased risk of acute pancreatitis, particularly when TG levels exceed 1,000–2,000 mg/dL 25 - 26) . In primary chylomicronemia syndrome, pregnancy may function as a classic “second hit,” further impairing intravascular lipolytic processing and promoting massive chylomicron accumulation 27) .</t>
  </si>
  <si>
    <t xml:space="preserve">sec:9 ¶3</t>
  </si>
  <si>
    <t xml:space="preserve">In the present case, complete loss of functional GPIHBP1 would be expected to result in persistent severe hypertriglyceridemia and recurrent pancreatitis. Interestingly, however, the clinical phenotype varied between pregnancies: acute pancreatitis occurred during the first pregnancy, whereas during the second pregnancy, TG levels exceeded 6,000 mg/dL without pancreatitis. This observation highlights that absolute TG concentration alone does not fully determine pancreatitis risk. Rather, qualitative and dynamic factors—such as chylomicron particle size, remnant accumulation, pancreatic microvascular perfusion, and local lipotoxic injury mediated by excessive free fatty acid release—likely contribute to pancreatic susceptibility 28 - 29) . Although we could not obtain more detailed information on TG levels during her second pregnancy, it may be reasonable that she did not suffer from pancreatitis if this TG level of 6,000 mg/dL was only temporary. However, if high TG level even around 1,000 mg/dL lasted a little longer, there may be a possibility that it may have caused pancreatitis. This phenotypic variability despite a presumed identical genetic background underscores the importance of environmental and metabolic modifiers, including dietary fat intake and insulin sensitivity, in determining clinical expression in GPIHBP1 deficiency.</t>
  </si>
  <si>
    <t xml:space="preserve">Lifelong Disease Course and the Importance of Continuous Follow-up</t>
  </si>
  <si>
    <t xml:space="preserve">FCS is a lifelong metabolic disorder characterized by recurrent exacerbations, not limited to childhood 30 - 31) . Although this patient was diagnosed in infancy, regular follow-up was discontinued early and only resumed in adulthood after she developed acute pancreatitis during her first pregnancy at age 23. During her second pregnancy at age 29, TG levels exceeded 6,000 mg/dL, requiring hospitalization to prevent pancreatitis. She delivered without complications, but follow-up was again discontinued after her second child.</t>
  </si>
  <si>
    <t xml:space="preserve">This clinical course highlights the importance of continuous, lifelong management, especially during high-risk periods such as pregnancy and metabolic changes. Delayed diagnosis or interrupted follow-up in primary chylomicronemia syndrome is associated with recurrent pancreatitis, frequent hospitalizations, and reduced quality of life 32) . This case emphasizes the need for anticipatory counseling, structured long-term monitoring, and proactive management, particularly in women of childbearing age.</t>
  </si>
  <si>
    <t xml:space="preserve">Therapeutic Implications</t>
  </si>
  <si>
    <t xml:space="preserve">Acute pancreatitis is the most serious complication of chylomicronemia syndrome, but risks of atherosclerotic cardiovascular disease and metabolic liver disease are also increased. Management should focus on controlling aggravating factors, such as improving glycemic control, avoiding alcohol, and reducing TG-raising medications. Many cases, especially those related to polygenic hypertriglyceridemia, may be preventable through early identification of high-risk individuals.</t>
  </si>
  <si>
    <t xml:space="preserve">Current guidelines emphasize lifelong strict fat restriction (≤ 15–20 g/day or ≤ 15% of total calories) as the cornerstone of management for FCS 33) . Because the risk of acute pancreatitis rises markedly when TG levels exceed 1,000 mg/dL, maintaining levels below this threshold is essential. Dietary counseling, avoidance of aggravating factors (e.g., alcohol, uncontrolled diabetes, estrogen), and regular long-term monitoring are also recommended.</t>
  </si>
  <si>
    <t xml:space="preserve">GPIHBP1 is required for trafficking LPL to the capillary lumen and thereby for efficient intravascular processing of TG-rich lipoproteins; consequently, GPIHBP1 deficiency causes severe chylomicronemia due to impaired capillary lipolysis. Nevertheless, reductions in plasma TG can still occur during fasting, intravenous supportive care, and/or stringent dietary fat restriction, which most directly reduces intestinal chylomicron production—the cornerstone of therapy in FCS phenotypes 34) . In the acute phase, fasting and intravenous fluids alone led to rapid resolution of pancreatitis 35) . TG levels decreased from 1,262 mg/dL to 225 mg/dL by day 5. Despite a predicted severe mutation, the clinical course was relatively mild, possibly due to long-term adherence to her conventional fat-restricted diet 36) . In the chronic phase, strict dietary fat restriction with adjunctive therapy maintained good TG control.</t>
  </si>
  <si>
    <t xml:space="preserve">sec:11 ¶4</t>
  </si>
  <si>
    <t xml:space="preserve">Furthermore, hepatic clearance of TG-rich lipoproteins and their remnants may involve overlapping receptor pathways (LDLR, LRP, and heparan sulfate proteoglycans) and accessory factors (including HL–mediated sequestration/bridging), providing plausible “backup” routes for particle removal when peripheral LPL activity is profoundly limited 37) . Other extracellular lipases may also contribute to TG reduction: endothelial lipase (EL) has been shown in humans and mice to promote the TG lipolysis/clearance of TG-rich lipoproteins and may partially compensate when LPL-dependent processing is inefficient 38) . Finally, preclinical work supports the existence of slow, noncanonical TG clearance mechanisms that can include uptake of whole lipoprotein particles (e.g., in brown adipose tissue in selected models), reinforcing that TG lowering in GPIHBP1 deficiency may reflect combined effects of reduced TG input and alternative clearance pathways rather than normalization of the canonical GPIHBP1–LPL axis 39) .</t>
  </si>
  <si>
    <t xml:space="preserve">sec:11 ¶5</t>
  </si>
  <si>
    <t xml:space="preserve">Until recently, treatment options for FCS were limited, especially in patients with complete LPL pathway deficiency. Conventional lipid-lowering agents, such as fibrates, nicotinic acid, and omega-3 fatty acids, have shown variable and often modest effects, reflecting impaired intravascular lipolysis as the main cause of the disease. Selective PPAR-α modulators, such as pemafibrate 40) , can reduce TG levels by decreasing VLDL production and enhancing remnant metabolism, although their effect may depend on residual LPL activity. Previous reports have shown that pemafibrate lowers TG levels in patients with chylomicronemia, including those with APOA5 mutations 41 - 43) . In our patient with GPIHBP1 deficiency, pemafibrate helped maintain TG levels at 200–500 mg/dL after discharge from hospital, suggesting a supportive role even with severe LPL pathway impairment. No recurrence of pancreatitis has been observed, but lifelong monitoring is required.</t>
  </si>
  <si>
    <t xml:space="preserve">sec:11 ¶6</t>
  </si>
  <si>
    <t xml:space="preserve">Recently, therapies targeting regulators of LPL activity have emerged. ApoC-III, an inhibitor of LPL, is a key target, and agents such as antisense oligonucleotides and siRNA significantly reduce TG levels by enhancing lipolysis and hepatic clearance, even in some patients with partial LPL defects 44) . Angiopoietin-like protein 3 (ANGPTL3), an inhibitor of LPL and EL, is another therapeutic target. Its inhibition enhances lipolysis and significantly reduces TG levels 44) . These mechanism-based therapies represent a new approach to managing severe hypertriglyceridemia and offer promising options for patients with FCS. Taken together, management of FCS requires lifelong strict fat restriction combined with emerging therapies targeting the LPL regulatory pathway.</t>
  </si>
  <si>
    <t xml:space="preserve">Conclusions</t>
  </si>
  <si>
    <t xml:space="preserve">In this study, we reported an extremely rare case of familial chylomicronemia syndrome (FCS) caused by a novel homozygous frameshift mutation in the GPIHBP1 gene (NM_178172.4:c.20del [p.Val7AlafsTer73]), in which pregnancy acted as a major trigger for severe hypertriglyceridemia and acute pancreatitis. This case expands the mutational spectrum of GPIHBP1 deficiency and highlights the profound impact of pregnancy on TG metabolism in the setting of impaired intravascular lipolysis. Serum TG levels were successfully controlled with strict dietary fat restriction and adjunctive pharmacotherapy with the SPPARMα pemafibrate.</t>
  </si>
  <si>
    <t xml:space="preserve">In patients presenting with acute pancreatitis and severe chylomicronemia, early biochemical and genetic diagnosis, lifelong follow-up, and rigorous lipid management—particularly during high-risk periods such as pregnancy—are essential to prevent recurrent pancreatitis and improve long-term outcomes in this rare but potentially life-threatening disorder.</t>
  </si>
  <si>
    <t xml:space="preserve">Study Limitations</t>
  </si>
  <si>
    <t xml:space="preserve">This case report is based solely on findings from the index proband. We were unable to perform biochemical and genetic analyses in her brother, who had a history of marked hypertriglyceridemia and recurrent acute pancreatitis. Information regarding dietary habits was obtained through an interview conducted by a registered dietitian and may therefore be subject to recall bias. In addition, the therapeutic efficacy of pemafibrate in chylomicronemia requires confirmation in larger cohorts of patients with genetically confirmed FCS.</t>
  </si>
  <si>
    <t xml:space="preserve">Grant Support</t>
  </si>
  <si>
    <t xml:space="preserve">This study did not receive any specific grant from funding agencies in the public, commercial, or not-for-profit sectors.</t>
  </si>
  <si>
    <t xml:space="preserve">S. Yamashita has received honoraria from Kowa Company, Ltd., Novartis Pharma K.K., and Otsuka Pharmaceutical Co., Ltd. D. Masuda has received honoraria from Eli Lilly Japan K.K., Mitsubishi Tanabe Pharma Corporation, and Kowa Company, Ltd., and has received research funding from Otsuka Pharmaceutical Co., Ltd., Novartis Pharma K.K., Eli Lilly Japan K.K., Amgen K.K., and MSD K.K. The remaining authors declare no conflicts of interest.</t>
  </si>
  <si>
    <t xml:space="preserve">Data Sharing</t>
  </si>
  <si>
    <t xml:space="preserve">No datasets were generated or analyzed beyond those included in this published article. Therefore, data sharing is not applicable to this study.</t>
  </si>
  <si>
    <t xml:space="preserve">Table Table 1.</t>
  </si>
  <si>
    <t xml:space="preserve">Laboratory Examinations for the Patient</t>
  </si>
  <si>
    <t xml:space="preserve">&lt;Blood cell count&gt; |  |  | &lt;Lipids&gt; |  |  | &lt;Reference&gt; | &lt;Glucose metabolism &amp; Thyroid&gt; |  | </t>
  </si>
  <si>
    <r>
      <rPr>
        <sz val="11"/>
        <rFont val="Arial"/>
        <family val="0"/>
        <charset val="1"/>
      </rPr>
      <t xml:space="preserve">WBC | 9,510 | /μL | LDL-C | 15 | mg/dL | </t>
    </r>
    <r>
      <rPr>
        <sz val="11"/>
        <rFont val="Noto Sans CJK SC"/>
        <family val="2"/>
      </rPr>
      <t xml:space="preserve">＜</t>
    </r>
    <r>
      <rPr>
        <sz val="11"/>
        <rFont val="Arial"/>
        <family val="0"/>
        <charset val="1"/>
      </rPr>
      <t xml:space="preserve">120 | Fasting glucose | 106 | mg/dL</t>
    </r>
  </si>
  <si>
    <t xml:space="preserve">RBC | 519×104 | /μL | HDL-C | 13 | mg/dL | ≧40 | Insulin | 8.5 | μU/mL</t>
  </si>
  <si>
    <t xml:space="preserve">Hb | 12.7 | g/dL | TG | 1,262 | mg/dL | 50~149 | HbA1c | 5.3 | %</t>
  </si>
  <si>
    <t xml:space="preserve">PLT | 13.5×104 | /μL | RemL-C | 43.3 | mg/dL | 0~7.5 | TSH | 0.84 | μU/mL</t>
  </si>
  <si>
    <t xml:space="preserve"> |  |  |  |  |  |  | FT4 | 1.06 | ng/dL</t>
  </si>
  <si>
    <t xml:space="preserve">&lt;Biochemistry&gt; |  |  | &lt;Apolipoproteins&gt; |  |  |  |  |  | </t>
  </si>
  <si>
    <t xml:space="preserve">AST | 18 | U/L | A-Ⅰ | 74 | mg/dL | 65~126 | &lt;Autoimmune&gt; |  | </t>
  </si>
  <si>
    <t xml:space="preserve">ALT | 10 | U/L | A-Ⅱ | 16.5 | mg/dL | 24.6~33.3 | Antinucler Ab |  | 40-fold</t>
  </si>
  <si>
    <t xml:space="preserve">γ-GTP | 17 | U/L | A-Ⅴ | 381.8 | ng/dL | 104~254 | Anti SS-A·SS-B Ab |  | negative</t>
  </si>
  <si>
    <t xml:space="preserve">Pancreatic AMY | 2,905 | U/L | B | 55 | mg/dL | 66~101 | Rheumatoid factor |  | 6.2 U/mL</t>
  </si>
  <si>
    <t xml:space="preserve">(Reference 16~52U/L) |  |  | C-Ⅱ | 13.7 | mg/dL | 1.5~3.8 |  |  | </t>
  </si>
  <si>
    <t xml:space="preserve">BUN | 12 | mg/dL | C-Ⅲ | 15.2 | mg/dL | 5.4~9 |  |  | </t>
  </si>
  <si>
    <t xml:space="preserve">Cre | 0.43 | mg/dL | E | 8.1 | mg/dL | 2.8~4.6 |  |  | </t>
  </si>
  <si>
    <t xml:space="preserve">Na | 138 | mEq/L |  |  |  |  |  |  | </t>
  </si>
  <si>
    <t xml:space="preserve">K | 3.6 | mEq/L | Preheparin LPL mass |  |  |  |  |  | </t>
  </si>
  <si>
    <t xml:space="preserve">Cl | 101 | mEq/L |  | 17 | ng/mL | 45~63 |  |  | </t>
  </si>
  <si>
    <t xml:space="preserve">Ca | 8.4 | mg/dL | GPIHBP1 |  |  |  |  |  | </t>
  </si>
  <si>
    <r>
      <rPr>
        <sz val="11"/>
        <rFont val="Arial"/>
        <family val="0"/>
        <charset val="1"/>
      </rPr>
      <t xml:space="preserve">CRP | 1.76 | mg/dL |  | </t>
    </r>
    <r>
      <rPr>
        <sz val="11"/>
        <rFont val="Noto Sans CJK SC"/>
        <family val="2"/>
      </rPr>
      <t xml:space="preserve">＜</t>
    </r>
    <r>
      <rPr>
        <sz val="11"/>
        <rFont val="Arial"/>
        <family val="0"/>
        <charset val="1"/>
      </rPr>
      <t xml:space="preserve">1.98 | pg/mL | 740~1,014 |  |  | </t>
    </r>
  </si>
</sst>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i val="true"/>
      <sz val="9"/>
      <color rgb="FF555555"/>
      <name val="Arial"/>
      <family val="0"/>
      <charset val="1"/>
    </font>
    <font>
      <sz val="11"/>
      <name val="Noto Sans CJK SC"/>
      <family val="2"/>
    </font>
  </fonts>
  <fills count="4">
    <fill>
      <patternFill patternType="none"/>
    </fill>
    <fill>
      <patternFill patternType="gray125"/>
    </fill>
    <fill>
      <patternFill patternType="solid">
        <fgColor rgb="FFFFF7C2"/>
        <bgColor rgb="FFFFFF99"/>
      </patternFill>
    </fill>
    <fill>
      <patternFill patternType="solid">
        <fgColor rgb="FFDDE4EE"/>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E4EE"/>
          <bgColor rgb="FF000000"/>
        </patternFill>
      </fill>
    </dxf>
    <dxf>
      <fill>
        <patternFill patternType="solid">
          <bgColor rgb="FF000000"/>
        </patternFill>
      </fill>
    </dxf>
    <dxf>
      <fill>
        <patternFill patternType="solid">
          <fgColor rgb="FFFFF7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2"/>
      <rgbColor rgb="FFCCFFFF"/>
      <rgbColor rgb="FF660066"/>
      <rgbColor rgb="FFFF8080"/>
      <rgbColor rgb="FF0066CC"/>
      <rgbColor rgb="FFDDE4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c r="B1" s="2"/>
    </row>
    <row r="2" customFormat="false" ht="15" hidden="false" customHeight="false" outlineLevel="0" collapsed="false">
      <c r="A2" s="1" t="s">
        <v>1</v>
      </c>
      <c r="B2" s="2" t="s">
        <v>2</v>
      </c>
    </row>
    <row r="3" customFormat="false" ht="15" hidden="false" customHeight="false" outlineLevel="0" collapsed="false">
      <c r="A3" s="1" t="s">
        <v>3</v>
      </c>
      <c r="B3" s="2" t="s">
        <v>4</v>
      </c>
    </row>
    <row r="4" customFormat="false" ht="15" hidden="false" customHeight="false" outlineLevel="0" collapsed="false">
      <c r="A4" s="1" t="s">
        <v>5</v>
      </c>
      <c r="B4" s="2" t="s">
        <v>6</v>
      </c>
    </row>
    <row r="5" customFormat="false" ht="15" hidden="false" customHeight="false" outlineLevel="0" collapsed="false">
      <c r="A5" s="1" t="s">
        <v>7</v>
      </c>
      <c r="B5" s="3"/>
    </row>
    <row r="6" customFormat="false" ht="15" hidden="false" customHeight="false" outlineLevel="0" collapsed="false">
      <c r="A6" s="1" t="s">
        <v>8</v>
      </c>
      <c r="B6" s="3"/>
    </row>
    <row r="7" customFormat="false" ht="15" hidden="false" customHeight="false" outlineLevel="0" collapsed="false">
      <c r="A7" s="4"/>
      <c r="B7" s="2"/>
    </row>
    <row r="8" customFormat="false" ht="39.55" hidden="false" customHeight="false" outlineLevel="0" collapsed="false">
      <c r="A8" s="1" t="s">
        <v>9</v>
      </c>
      <c r="B8" s="2" t="s">
        <v>10</v>
      </c>
    </row>
    <row r="9" customFormat="false" ht="15" hidden="false" customHeight="false" outlineLevel="0" collapsed="false">
      <c r="A9" s="1" t="s">
        <v>11</v>
      </c>
      <c r="B9" s="2"/>
    </row>
    <row r="10" customFormat="false" ht="15" hidden="false" customHeight="false" outlineLevel="0" collapsed="false">
      <c r="A10" s="4" t="s">
        <v>12</v>
      </c>
      <c r="B10" s="2" t="s">
        <v>13</v>
      </c>
    </row>
    <row r="11" customFormat="false" ht="15" hidden="false" customHeight="false" outlineLevel="0" collapsed="false">
      <c r="A11" s="4" t="s">
        <v>14</v>
      </c>
      <c r="B11" s="2" t="s">
        <v>15</v>
      </c>
    </row>
    <row r="12" customFormat="false" ht="15" hidden="false" customHeight="false" outlineLevel="0" collapsed="false">
      <c r="A12" s="4" t="s">
        <v>16</v>
      </c>
      <c r="B12" s="2" t="s">
        <v>17</v>
      </c>
    </row>
    <row r="13" customFormat="false" ht="15" hidden="false" customHeight="false" outlineLevel="0" collapsed="false">
      <c r="A13" s="4" t="s">
        <v>18</v>
      </c>
      <c r="B13" s="2" t="s">
        <v>19</v>
      </c>
    </row>
    <row r="14" customFormat="false" ht="15" hidden="false" customHeight="false" outlineLevel="0" collapsed="false">
      <c r="A14" s="4" t="s">
        <v>20</v>
      </c>
      <c r="B14" s="2" t="s">
        <v>21</v>
      </c>
    </row>
    <row r="15" customFormat="false" ht="15" hidden="false" customHeight="false" outlineLevel="0" collapsed="false">
      <c r="A15" s="4" t="s">
        <v>22</v>
      </c>
      <c r="B15" s="2" t="s">
        <v>23</v>
      </c>
    </row>
    <row r="16" customFormat="false" ht="15" hidden="false" customHeight="false" outlineLevel="0" collapsed="false">
      <c r="A16" s="4" t="s">
        <v>24</v>
      </c>
      <c r="B16" s="2" t="s">
        <v>25</v>
      </c>
    </row>
    <row r="17" customFormat="false" ht="15" hidden="false" customHeight="false" outlineLevel="0" collapsed="false">
      <c r="A17" s="4"/>
      <c r="B17" s="2"/>
    </row>
    <row r="18" customFormat="false" ht="39.55" hidden="false" customHeight="false" outlineLevel="0" collapsed="false">
      <c r="A18" s="4" t="s">
        <v>26</v>
      </c>
      <c r="B18" s="2" t="s">
        <v>27</v>
      </c>
    </row>
    <row r="19" customFormat="false" ht="26.85" hidden="false" customHeight="false" outlineLevel="0" collapsed="false">
      <c r="A19" s="4" t="s">
        <v>28</v>
      </c>
      <c r="B19" s="2" t="s">
        <v>29</v>
      </c>
    </row>
    <row r="20" customFormat="false" ht="26.85" hidden="false" customHeight="false" outlineLevel="0" collapsed="false">
      <c r="A20" s="4" t="s">
        <v>30</v>
      </c>
      <c r="B20" s="2" t="s">
        <v>31</v>
      </c>
    </row>
    <row r="21" customFormat="false" ht="26.85" hidden="false" customHeight="false" outlineLevel="0" collapsed="false">
      <c r="A21" s="4" t="s">
        <v>32</v>
      </c>
      <c r="B21" s="2" t="s">
        <v>33</v>
      </c>
    </row>
    <row r="23" customFormat="false" ht="15" hidden="false" customHeight="false" outlineLevel="0" collapsed="false">
      <c r="A23" s="1" t="s">
        <v>34</v>
      </c>
    </row>
    <row r="24" customFormat="false" ht="15" hidden="false" customHeight="false" outlineLevel="0" collapsed="false">
      <c r="A24" s="4" t="s">
        <v>35</v>
      </c>
      <c r="B24" s="4" t="n">
        <f aca="false">COUNTA(Facts!A2:A329)</f>
        <v>328</v>
      </c>
    </row>
    <row r="25" customFormat="false" ht="15" hidden="false" customHeight="false" outlineLevel="0" collapsed="false">
      <c r="A25" s="4" t="s">
        <v>36</v>
      </c>
      <c r="B25" s="4" t="n">
        <f aca="false">COUNTA(Facts!L2:L329)</f>
        <v>0</v>
      </c>
    </row>
    <row r="26" customFormat="false" ht="15" hidden="false" customHeight="false" outlineLevel="0" collapsed="false">
      <c r="A26" s="4" t="s">
        <v>37</v>
      </c>
      <c r="B26" s="4" t="n">
        <f aca="false">COUNTA(Record!G2:G7)</f>
        <v>0</v>
      </c>
    </row>
    <row r="27" customFormat="false" ht="15" hidden="false" customHeight="false" outlineLevel="0" collapsed="false">
      <c r="A27" s="4" t="s">
        <v>38</v>
      </c>
      <c r="B27" s="4" t="n">
        <f aca="false">COUNTA(Missed!C2:C401)</f>
        <v>0</v>
      </c>
    </row>
    <row r="28" customFormat="false" ht="15" hidden="false" customHeight="false" outlineLevel="0" collapsed="false">
      <c r="A28"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4"/>
    <col collapsed="false" customWidth="true" hidden="false" outlineLevel="0" max="6" min="6" style="0" width="34"/>
    <col collapsed="false" customWidth="true" hidden="false" outlineLevel="0" max="7" min="7" style="0" width="40"/>
    <col collapsed="false" customWidth="true" hidden="false" outlineLevel="0" max="8" min="8" style="0" width="30"/>
    <col collapsed="false" customWidth="true" hidden="false" outlineLevel="0" max="9" min="9" style="0" width="60"/>
    <col collapsed="false" customWidth="true" hidden="false" outlineLevel="0" max="10" min="10" style="0" width="12"/>
    <col collapsed="false" customWidth="true" hidden="false" outlineLevel="0" max="11" min="11" style="0" width="14"/>
    <col collapsed="false" customWidth="true" hidden="false" outlineLevel="0" max="12" min="12" style="0" width="16"/>
    <col collapsed="false" customWidth="true" hidden="false" outlineLevel="0" max="14" min="13" style="0" width="30"/>
  </cols>
  <sheetData>
    <row r="1" customFormat="false" ht="39.55" hidden="false" customHeight="false" outlineLevel="0" collapsed="false">
      <c r="A1" s="6" t="s">
        <v>40</v>
      </c>
      <c r="B1" s="6" t="s">
        <v>41</v>
      </c>
      <c r="C1" s="6" t="s">
        <v>42</v>
      </c>
      <c r="D1" s="6" t="s">
        <v>43</v>
      </c>
      <c r="E1" s="6" t="s">
        <v>44</v>
      </c>
      <c r="F1" s="6" t="s">
        <v>45</v>
      </c>
      <c r="G1" s="6" t="s">
        <v>46</v>
      </c>
      <c r="H1" s="6" t="s">
        <v>47</v>
      </c>
      <c r="I1" s="6" t="s">
        <v>48</v>
      </c>
      <c r="J1" s="6" t="s">
        <v>49</v>
      </c>
      <c r="K1" s="6" t="s">
        <v>50</v>
      </c>
      <c r="L1" s="6" t="s">
        <v>51</v>
      </c>
      <c r="M1" s="6" t="s">
        <v>52</v>
      </c>
      <c r="N1" s="6" t="s">
        <v>53</v>
      </c>
    </row>
    <row r="2" customFormat="false" ht="26.85" hidden="false" customHeight="false" outlineLevel="0" collapsed="false">
      <c r="A2" s="2" t="s">
        <v>54</v>
      </c>
      <c r="B2" s="2" t="s">
        <v>55</v>
      </c>
      <c r="C2" s="2" t="s">
        <v>56</v>
      </c>
      <c r="D2" s="2" t="s">
        <v>57</v>
      </c>
      <c r="E2" s="2" t="s">
        <v>58</v>
      </c>
      <c r="F2" s="2" t="s">
        <v>59</v>
      </c>
      <c r="G2" s="2" t="s">
        <v>60</v>
      </c>
      <c r="H2" s="2"/>
      <c r="I2" s="2"/>
      <c r="J2" s="2"/>
      <c r="K2" s="2"/>
      <c r="L2" s="3"/>
      <c r="M2" s="3"/>
      <c r="N2" s="3"/>
    </row>
    <row r="3" customFormat="false" ht="26.85" hidden="false" customHeight="false" outlineLevel="0" collapsed="false">
      <c r="A3" s="2" t="s">
        <v>61</v>
      </c>
      <c r="B3" s="2" t="s">
        <v>55</v>
      </c>
      <c r="C3" s="2" t="s">
        <v>56</v>
      </c>
      <c r="D3" s="2" t="s">
        <v>57</v>
      </c>
      <c r="E3" s="2" t="s">
        <v>58</v>
      </c>
      <c r="F3" s="2" t="s">
        <v>62</v>
      </c>
      <c r="G3" s="2" t="s">
        <v>63</v>
      </c>
      <c r="H3" s="2"/>
      <c r="I3" s="2"/>
      <c r="J3" s="2"/>
      <c r="K3" s="2"/>
      <c r="L3" s="3"/>
      <c r="M3" s="3"/>
      <c r="N3" s="3"/>
    </row>
    <row r="4" customFormat="false" ht="26.85" hidden="false" customHeight="false" outlineLevel="0" collapsed="false">
      <c r="A4" s="2" t="s">
        <v>64</v>
      </c>
      <c r="B4" s="2" t="s">
        <v>55</v>
      </c>
      <c r="C4" s="2" t="s">
        <v>56</v>
      </c>
      <c r="D4" s="2" t="s">
        <v>57</v>
      </c>
      <c r="E4" s="2" t="s">
        <v>58</v>
      </c>
      <c r="F4" s="2" t="s">
        <v>65</v>
      </c>
      <c r="G4" s="2" t="s">
        <v>66</v>
      </c>
      <c r="H4" s="2"/>
      <c r="I4" s="2"/>
      <c r="J4" s="2"/>
      <c r="K4" s="2"/>
      <c r="L4" s="3"/>
      <c r="M4" s="3"/>
      <c r="N4" s="3"/>
    </row>
    <row r="5" customFormat="false" ht="26.85" hidden="false" customHeight="false" outlineLevel="0" collapsed="false">
      <c r="A5" s="2" t="s">
        <v>67</v>
      </c>
      <c r="B5" s="2" t="s">
        <v>55</v>
      </c>
      <c r="C5" s="2" t="s">
        <v>56</v>
      </c>
      <c r="D5" s="2" t="s">
        <v>57</v>
      </c>
      <c r="E5" s="2" t="s">
        <v>58</v>
      </c>
      <c r="F5" s="2" t="s">
        <v>68</v>
      </c>
      <c r="G5" s="2" t="s">
        <v>69</v>
      </c>
      <c r="H5" s="2"/>
      <c r="I5" s="2"/>
      <c r="J5" s="2"/>
      <c r="K5" s="2"/>
      <c r="L5" s="3"/>
      <c r="M5" s="3"/>
      <c r="N5" s="3"/>
    </row>
    <row r="6" customFormat="false" ht="26.85" hidden="false" customHeight="false" outlineLevel="0" collapsed="false">
      <c r="A6" s="2" t="s">
        <v>70</v>
      </c>
      <c r="B6" s="2" t="s">
        <v>55</v>
      </c>
      <c r="C6" s="2" t="s">
        <v>56</v>
      </c>
      <c r="D6" s="2" t="s">
        <v>57</v>
      </c>
      <c r="E6" s="2" t="s">
        <v>58</v>
      </c>
      <c r="F6" s="2" t="s">
        <v>71</v>
      </c>
      <c r="G6" s="2" t="s">
        <v>72</v>
      </c>
      <c r="H6" s="2"/>
      <c r="I6" s="2"/>
      <c r="J6" s="2"/>
      <c r="K6" s="2"/>
      <c r="L6" s="3"/>
      <c r="M6" s="3"/>
      <c r="N6" s="3"/>
    </row>
    <row r="7" customFormat="false" ht="26.85" hidden="false" customHeight="false" outlineLevel="0" collapsed="false">
      <c r="A7" s="2" t="s">
        <v>73</v>
      </c>
      <c r="B7" s="2" t="s">
        <v>55</v>
      </c>
      <c r="C7" s="2" t="s">
        <v>56</v>
      </c>
      <c r="D7" s="2" t="s">
        <v>57</v>
      </c>
      <c r="E7" s="2" t="s">
        <v>58</v>
      </c>
      <c r="F7" s="2" t="s">
        <v>74</v>
      </c>
      <c r="G7" s="2" t="s">
        <v>75</v>
      </c>
      <c r="H7" s="2"/>
      <c r="I7" s="2"/>
      <c r="J7" s="2"/>
      <c r="K7" s="2"/>
      <c r="L7" s="3"/>
      <c r="M7" s="3"/>
      <c r="N7" s="3"/>
    </row>
    <row r="8" customFormat="false" ht="39.55" hidden="false" customHeight="false" outlineLevel="0" collapsed="false">
      <c r="A8" s="2" t="s">
        <v>76</v>
      </c>
      <c r="B8" s="2" t="s">
        <v>55</v>
      </c>
      <c r="C8" s="2" t="s">
        <v>56</v>
      </c>
      <c r="D8" s="2" t="s">
        <v>57</v>
      </c>
      <c r="E8" s="2" t="s">
        <v>58</v>
      </c>
      <c r="F8" s="2" t="s">
        <v>77</v>
      </c>
      <c r="G8" s="2" t="s">
        <v>78</v>
      </c>
      <c r="H8" s="2"/>
      <c r="I8" s="2" t="s">
        <v>79</v>
      </c>
      <c r="J8" s="2" t="s">
        <v>80</v>
      </c>
      <c r="K8" s="2" t="s">
        <v>81</v>
      </c>
      <c r="L8" s="3"/>
      <c r="M8" s="3"/>
      <c r="N8" s="3"/>
    </row>
    <row r="9" customFormat="false" ht="52.2" hidden="false" customHeight="false" outlineLevel="0" collapsed="false">
      <c r="A9" s="2" t="s">
        <v>82</v>
      </c>
      <c r="B9" s="2" t="s">
        <v>55</v>
      </c>
      <c r="C9" s="2" t="s">
        <v>56</v>
      </c>
      <c r="D9" s="2" t="s">
        <v>57</v>
      </c>
      <c r="E9" s="2" t="s">
        <v>58</v>
      </c>
      <c r="F9" s="2" t="s">
        <v>83</v>
      </c>
      <c r="G9" s="2" t="s">
        <v>84</v>
      </c>
      <c r="H9" s="2"/>
      <c r="I9" s="2" t="s">
        <v>85</v>
      </c>
      <c r="J9" s="2" t="s">
        <v>80</v>
      </c>
      <c r="K9" s="2" t="s">
        <v>81</v>
      </c>
      <c r="L9" s="3"/>
      <c r="M9" s="3"/>
      <c r="N9" s="3"/>
    </row>
    <row r="10" customFormat="false" ht="52.2" hidden="false" customHeight="false" outlineLevel="0" collapsed="false">
      <c r="A10" s="2" t="s">
        <v>86</v>
      </c>
      <c r="B10" s="2" t="s">
        <v>55</v>
      </c>
      <c r="C10" s="2" t="s">
        <v>56</v>
      </c>
      <c r="D10" s="2" t="s">
        <v>57</v>
      </c>
      <c r="E10" s="2" t="s">
        <v>58</v>
      </c>
      <c r="F10" s="2" t="s">
        <v>87</v>
      </c>
      <c r="G10" s="2" t="s">
        <v>88</v>
      </c>
      <c r="H10" s="2"/>
      <c r="I10" s="2" t="s">
        <v>89</v>
      </c>
      <c r="J10" s="2" t="s">
        <v>90</v>
      </c>
      <c r="K10" s="2" t="s">
        <v>81</v>
      </c>
      <c r="L10" s="3"/>
      <c r="M10" s="3"/>
      <c r="N10" s="3"/>
    </row>
    <row r="11" customFormat="false" ht="102.95" hidden="false" customHeight="false" outlineLevel="0" collapsed="false">
      <c r="A11" s="2" t="s">
        <v>91</v>
      </c>
      <c r="B11" s="2" t="s">
        <v>55</v>
      </c>
      <c r="C11" s="2" t="s">
        <v>56</v>
      </c>
      <c r="D11" s="2" t="s">
        <v>57</v>
      </c>
      <c r="E11" s="2" t="s">
        <v>92</v>
      </c>
      <c r="F11" s="2" t="s">
        <v>93</v>
      </c>
      <c r="G11" s="2" t="s">
        <v>94</v>
      </c>
      <c r="H11" s="2"/>
      <c r="I11" s="2"/>
      <c r="J11" s="2"/>
      <c r="K11" s="2"/>
      <c r="L11" s="3"/>
      <c r="M11" s="3"/>
      <c r="N11" s="3"/>
    </row>
    <row r="12" customFormat="false" ht="39.55" hidden="false" customHeight="false" outlineLevel="0" collapsed="false">
      <c r="A12" s="2" t="s">
        <v>95</v>
      </c>
      <c r="B12" s="2" t="s">
        <v>55</v>
      </c>
      <c r="C12" s="2" t="s">
        <v>56</v>
      </c>
      <c r="D12" s="2" t="s">
        <v>57</v>
      </c>
      <c r="E12" s="2" t="s">
        <v>96</v>
      </c>
      <c r="F12" s="2" t="s">
        <v>97</v>
      </c>
      <c r="G12" s="2" t="s">
        <v>98</v>
      </c>
      <c r="H12" s="2" t="s">
        <v>99</v>
      </c>
      <c r="I12" s="2" t="s">
        <v>79</v>
      </c>
      <c r="J12" s="2" t="s">
        <v>80</v>
      </c>
      <c r="K12" s="2" t="s">
        <v>100</v>
      </c>
      <c r="L12" s="3"/>
      <c r="M12" s="3"/>
      <c r="N12" s="3"/>
    </row>
    <row r="13" customFormat="false" ht="39.55" hidden="false" customHeight="false" outlineLevel="0" collapsed="false">
      <c r="A13" s="2" t="s">
        <v>101</v>
      </c>
      <c r="B13" s="2" t="s">
        <v>55</v>
      </c>
      <c r="C13" s="2" t="s">
        <v>56</v>
      </c>
      <c r="D13" s="2" t="s">
        <v>57</v>
      </c>
      <c r="E13" s="2" t="s">
        <v>96</v>
      </c>
      <c r="F13" s="2" t="s">
        <v>102</v>
      </c>
      <c r="G13" s="2" t="s">
        <v>103</v>
      </c>
      <c r="H13" s="2" t="s">
        <v>104</v>
      </c>
      <c r="I13" s="2" t="s">
        <v>79</v>
      </c>
      <c r="J13" s="2" t="s">
        <v>80</v>
      </c>
      <c r="K13" s="2" t="s">
        <v>100</v>
      </c>
      <c r="L13" s="3"/>
      <c r="M13" s="3"/>
      <c r="N13" s="3"/>
    </row>
    <row r="14" customFormat="false" ht="39.55" hidden="false" customHeight="false" outlineLevel="0" collapsed="false">
      <c r="A14" s="2" t="s">
        <v>105</v>
      </c>
      <c r="B14" s="2" t="s">
        <v>55</v>
      </c>
      <c r="C14" s="2" t="s">
        <v>56</v>
      </c>
      <c r="D14" s="2" t="s">
        <v>57</v>
      </c>
      <c r="E14" s="2" t="s">
        <v>96</v>
      </c>
      <c r="F14" s="2" t="s">
        <v>106</v>
      </c>
      <c r="G14" s="2" t="s">
        <v>103</v>
      </c>
      <c r="H14" s="2" t="s">
        <v>107</v>
      </c>
      <c r="I14" s="2" t="s">
        <v>79</v>
      </c>
      <c r="J14" s="2" t="s">
        <v>80</v>
      </c>
      <c r="K14" s="2" t="s">
        <v>100</v>
      </c>
      <c r="L14" s="3"/>
      <c r="M14" s="3"/>
      <c r="N14" s="3"/>
    </row>
    <row r="15" customFormat="false" ht="52.2" hidden="false" customHeight="false" outlineLevel="0" collapsed="false">
      <c r="A15" s="2" t="s">
        <v>108</v>
      </c>
      <c r="B15" s="2" t="s">
        <v>55</v>
      </c>
      <c r="C15" s="2" t="s">
        <v>56</v>
      </c>
      <c r="D15" s="2" t="s">
        <v>57</v>
      </c>
      <c r="E15" s="2" t="s">
        <v>96</v>
      </c>
      <c r="F15" s="2" t="s">
        <v>109</v>
      </c>
      <c r="G15" s="2" t="s">
        <v>110</v>
      </c>
      <c r="H15" s="2" t="s">
        <v>111</v>
      </c>
      <c r="I15" s="2" t="s">
        <v>85</v>
      </c>
      <c r="J15" s="2" t="s">
        <v>80</v>
      </c>
      <c r="K15" s="2" t="s">
        <v>100</v>
      </c>
      <c r="L15" s="3"/>
      <c r="M15" s="3"/>
      <c r="N15" s="3"/>
    </row>
    <row r="16" customFormat="false" ht="52.2" hidden="false" customHeight="false" outlineLevel="0" collapsed="false">
      <c r="A16" s="2" t="s">
        <v>112</v>
      </c>
      <c r="B16" s="2" t="s">
        <v>55</v>
      </c>
      <c r="C16" s="2" t="s">
        <v>56</v>
      </c>
      <c r="D16" s="2" t="s">
        <v>57</v>
      </c>
      <c r="E16" s="2" t="s">
        <v>96</v>
      </c>
      <c r="F16" s="2" t="s">
        <v>113</v>
      </c>
      <c r="G16" s="2" t="s">
        <v>110</v>
      </c>
      <c r="H16" s="2" t="s">
        <v>114</v>
      </c>
      <c r="I16" s="2" t="s">
        <v>85</v>
      </c>
      <c r="J16" s="2" t="s">
        <v>80</v>
      </c>
      <c r="K16" s="2" t="s">
        <v>100</v>
      </c>
      <c r="L16" s="3"/>
      <c r="M16" s="3"/>
      <c r="N16" s="3"/>
    </row>
    <row r="17" customFormat="false" ht="52.2" hidden="false" customHeight="false" outlineLevel="0" collapsed="false">
      <c r="A17" s="2" t="s">
        <v>115</v>
      </c>
      <c r="B17" s="2" t="s">
        <v>55</v>
      </c>
      <c r="C17" s="2" t="s">
        <v>56</v>
      </c>
      <c r="D17" s="2" t="s">
        <v>57</v>
      </c>
      <c r="E17" s="2" t="s">
        <v>96</v>
      </c>
      <c r="F17" s="2" t="s">
        <v>116</v>
      </c>
      <c r="G17" s="2" t="s">
        <v>110</v>
      </c>
      <c r="H17" s="2" t="s">
        <v>117</v>
      </c>
      <c r="I17" s="2" t="s">
        <v>85</v>
      </c>
      <c r="J17" s="2" t="s">
        <v>80</v>
      </c>
      <c r="K17" s="2" t="s">
        <v>100</v>
      </c>
      <c r="L17" s="3"/>
      <c r="M17" s="3"/>
      <c r="N17" s="3"/>
    </row>
    <row r="18" customFormat="false" ht="52.2" hidden="false" customHeight="false" outlineLevel="0" collapsed="false">
      <c r="A18" s="2" t="s">
        <v>118</v>
      </c>
      <c r="B18" s="2" t="s">
        <v>55</v>
      </c>
      <c r="C18" s="2" t="s">
        <v>56</v>
      </c>
      <c r="D18" s="2" t="s">
        <v>57</v>
      </c>
      <c r="E18" s="2" t="s">
        <v>96</v>
      </c>
      <c r="F18" s="2" t="s">
        <v>119</v>
      </c>
      <c r="G18" s="2" t="s">
        <v>120</v>
      </c>
      <c r="H18" s="2" t="s">
        <v>121</v>
      </c>
      <c r="I18" s="2" t="s">
        <v>85</v>
      </c>
      <c r="J18" s="2" t="s">
        <v>80</v>
      </c>
      <c r="K18" s="2" t="s">
        <v>100</v>
      </c>
      <c r="L18" s="3"/>
      <c r="M18" s="3"/>
      <c r="N18" s="3"/>
    </row>
    <row r="19" customFormat="false" ht="26.85" hidden="false" customHeight="false" outlineLevel="0" collapsed="false">
      <c r="A19" s="2" t="s">
        <v>122</v>
      </c>
      <c r="B19" s="2" t="s">
        <v>55</v>
      </c>
      <c r="C19" s="2" t="s">
        <v>56</v>
      </c>
      <c r="D19" s="2" t="s">
        <v>57</v>
      </c>
      <c r="E19" s="2" t="s">
        <v>96</v>
      </c>
      <c r="F19" s="2" t="s">
        <v>123</v>
      </c>
      <c r="G19" s="2" t="s">
        <v>124</v>
      </c>
      <c r="H19" s="2" t="s">
        <v>125</v>
      </c>
      <c r="I19" s="2" t="s">
        <v>126</v>
      </c>
      <c r="J19" s="2" t="s">
        <v>80</v>
      </c>
      <c r="K19" s="2" t="s">
        <v>100</v>
      </c>
      <c r="L19" s="3"/>
      <c r="M19" s="3"/>
      <c r="N19" s="3"/>
    </row>
    <row r="20" customFormat="false" ht="26.85" hidden="false" customHeight="false" outlineLevel="0" collapsed="false">
      <c r="A20" s="2" t="s">
        <v>127</v>
      </c>
      <c r="B20" s="2" t="s">
        <v>55</v>
      </c>
      <c r="C20" s="2" t="s">
        <v>56</v>
      </c>
      <c r="D20" s="2" t="s">
        <v>57</v>
      </c>
      <c r="E20" s="2" t="s">
        <v>96</v>
      </c>
      <c r="F20" s="2" t="s">
        <v>128</v>
      </c>
      <c r="G20" s="2" t="s">
        <v>124</v>
      </c>
      <c r="H20" s="2" t="s">
        <v>129</v>
      </c>
      <c r="I20" s="2" t="s">
        <v>130</v>
      </c>
      <c r="J20" s="2" t="s">
        <v>80</v>
      </c>
      <c r="K20" s="2" t="s">
        <v>100</v>
      </c>
      <c r="L20" s="3"/>
      <c r="M20" s="3"/>
      <c r="N20" s="3"/>
    </row>
    <row r="21" customFormat="false" ht="26.85" hidden="false" customHeight="false" outlineLevel="0" collapsed="false">
      <c r="A21" s="2" t="s">
        <v>131</v>
      </c>
      <c r="B21" s="2" t="s">
        <v>55</v>
      </c>
      <c r="C21" s="2" t="s">
        <v>56</v>
      </c>
      <c r="D21" s="2" t="s">
        <v>57</v>
      </c>
      <c r="E21" s="2" t="s">
        <v>96</v>
      </c>
      <c r="F21" s="2" t="s">
        <v>132</v>
      </c>
      <c r="G21" s="2" t="s">
        <v>124</v>
      </c>
      <c r="H21" s="2"/>
      <c r="I21" s="2" t="s">
        <v>133</v>
      </c>
      <c r="J21" s="2" t="s">
        <v>80</v>
      </c>
      <c r="K21" s="2" t="s">
        <v>100</v>
      </c>
      <c r="L21" s="3"/>
      <c r="M21" s="3"/>
      <c r="N21" s="3"/>
    </row>
    <row r="22" customFormat="false" ht="26.85" hidden="false" customHeight="false" outlineLevel="0" collapsed="false">
      <c r="A22" s="2" t="s">
        <v>134</v>
      </c>
      <c r="B22" s="2" t="s">
        <v>55</v>
      </c>
      <c r="C22" s="2" t="s">
        <v>56</v>
      </c>
      <c r="D22" s="2" t="s">
        <v>57</v>
      </c>
      <c r="E22" s="2" t="s">
        <v>96</v>
      </c>
      <c r="F22" s="2" t="s">
        <v>135</v>
      </c>
      <c r="G22" s="2" t="s">
        <v>124</v>
      </c>
      <c r="H22" s="2"/>
      <c r="I22" s="2" t="s">
        <v>136</v>
      </c>
      <c r="J22" s="2" t="s">
        <v>80</v>
      </c>
      <c r="K22" s="2" t="s">
        <v>100</v>
      </c>
      <c r="L22" s="3"/>
      <c r="M22" s="3"/>
      <c r="N22" s="3"/>
    </row>
    <row r="23" customFormat="false" ht="26.85" hidden="false" customHeight="false" outlineLevel="0" collapsed="false">
      <c r="A23" s="2" t="s">
        <v>137</v>
      </c>
      <c r="B23" s="2" t="s">
        <v>55</v>
      </c>
      <c r="C23" s="2" t="s">
        <v>56</v>
      </c>
      <c r="D23" s="2" t="s">
        <v>57</v>
      </c>
      <c r="E23" s="2" t="s">
        <v>96</v>
      </c>
      <c r="F23" s="2" t="s">
        <v>138</v>
      </c>
      <c r="G23" s="2" t="s">
        <v>124</v>
      </c>
      <c r="H23" s="2" t="s">
        <v>139</v>
      </c>
      <c r="I23" s="2" t="s">
        <v>140</v>
      </c>
      <c r="J23" s="2" t="s">
        <v>80</v>
      </c>
      <c r="K23" s="2" t="s">
        <v>100</v>
      </c>
      <c r="L23" s="3"/>
      <c r="M23" s="3"/>
      <c r="N23" s="3"/>
    </row>
    <row r="24" customFormat="false" ht="26.85" hidden="false" customHeight="false" outlineLevel="0" collapsed="false">
      <c r="A24" s="2" t="s">
        <v>141</v>
      </c>
      <c r="B24" s="2" t="s">
        <v>55</v>
      </c>
      <c r="C24" s="2" t="s">
        <v>56</v>
      </c>
      <c r="D24" s="2" t="s">
        <v>57</v>
      </c>
      <c r="E24" s="2" t="s">
        <v>96</v>
      </c>
      <c r="F24" s="2" t="s">
        <v>142</v>
      </c>
      <c r="G24" s="2" t="s">
        <v>124</v>
      </c>
      <c r="H24" s="2"/>
      <c r="I24" s="2" t="s">
        <v>143</v>
      </c>
      <c r="J24" s="2" t="s">
        <v>80</v>
      </c>
      <c r="K24" s="2" t="s">
        <v>100</v>
      </c>
      <c r="L24" s="3"/>
      <c r="M24" s="3"/>
      <c r="N24" s="3"/>
    </row>
    <row r="25" customFormat="false" ht="26.85" hidden="false" customHeight="false" outlineLevel="0" collapsed="false">
      <c r="A25" s="2" t="s">
        <v>144</v>
      </c>
      <c r="B25" s="2" t="s">
        <v>55</v>
      </c>
      <c r="C25" s="2" t="s">
        <v>56</v>
      </c>
      <c r="D25" s="2" t="s">
        <v>57</v>
      </c>
      <c r="E25" s="2" t="s">
        <v>96</v>
      </c>
      <c r="F25" s="2" t="s">
        <v>145</v>
      </c>
      <c r="G25" s="2" t="s">
        <v>146</v>
      </c>
      <c r="H25" s="2"/>
      <c r="I25" s="2" t="s">
        <v>147</v>
      </c>
      <c r="J25" s="2" t="s">
        <v>90</v>
      </c>
      <c r="K25" s="2" t="s">
        <v>100</v>
      </c>
      <c r="L25" s="3"/>
      <c r="M25" s="3"/>
      <c r="N25" s="3"/>
    </row>
    <row r="26" customFormat="false" ht="26.85" hidden="false" customHeight="false" outlineLevel="0" collapsed="false">
      <c r="A26" s="2" t="s">
        <v>148</v>
      </c>
      <c r="B26" s="2" t="s">
        <v>55</v>
      </c>
      <c r="C26" s="2" t="s">
        <v>56</v>
      </c>
      <c r="D26" s="2" t="s">
        <v>57</v>
      </c>
      <c r="E26" s="2" t="s">
        <v>96</v>
      </c>
      <c r="F26" s="2" t="s">
        <v>149</v>
      </c>
      <c r="G26" s="2" t="s">
        <v>150</v>
      </c>
      <c r="H26" s="2" t="s">
        <v>151</v>
      </c>
      <c r="I26" s="2" t="s">
        <v>152</v>
      </c>
      <c r="J26" s="2" t="s">
        <v>153</v>
      </c>
      <c r="K26" s="2" t="s">
        <v>100</v>
      </c>
      <c r="L26" s="3"/>
      <c r="M26" s="3"/>
      <c r="N26" s="3"/>
    </row>
    <row r="27" customFormat="false" ht="26.85" hidden="false" customHeight="false" outlineLevel="0" collapsed="false">
      <c r="A27" s="2" t="s">
        <v>154</v>
      </c>
      <c r="B27" s="2" t="s">
        <v>55</v>
      </c>
      <c r="C27" s="2" t="s">
        <v>56</v>
      </c>
      <c r="D27" s="2" t="s">
        <v>57</v>
      </c>
      <c r="E27" s="2" t="s">
        <v>96</v>
      </c>
      <c r="F27" s="2" t="s">
        <v>155</v>
      </c>
      <c r="G27" s="2" t="s">
        <v>150</v>
      </c>
      <c r="H27" s="2"/>
      <c r="I27" s="2" t="s">
        <v>156</v>
      </c>
      <c r="J27" s="2" t="s">
        <v>157</v>
      </c>
      <c r="K27" s="2" t="s">
        <v>100</v>
      </c>
      <c r="L27" s="3"/>
      <c r="M27" s="3"/>
      <c r="N27" s="3"/>
    </row>
    <row r="28" customFormat="false" ht="52.2" hidden="false" customHeight="false" outlineLevel="0" collapsed="false">
      <c r="A28" s="2" t="s">
        <v>158</v>
      </c>
      <c r="B28" s="2" t="s">
        <v>55</v>
      </c>
      <c r="C28" s="2" t="s">
        <v>56</v>
      </c>
      <c r="D28" s="2" t="s">
        <v>57</v>
      </c>
      <c r="E28" s="2" t="s">
        <v>159</v>
      </c>
      <c r="F28" s="2" t="s">
        <v>160</v>
      </c>
      <c r="G28" s="2" t="s">
        <v>161</v>
      </c>
      <c r="H28" s="2" t="s">
        <v>162</v>
      </c>
      <c r="I28" s="2" t="s">
        <v>85</v>
      </c>
      <c r="J28" s="2" t="s">
        <v>80</v>
      </c>
      <c r="K28" s="2" t="s">
        <v>100</v>
      </c>
      <c r="L28" s="3"/>
      <c r="M28" s="3"/>
      <c r="N28" s="3"/>
    </row>
    <row r="29" customFormat="false" ht="52.2" hidden="false" customHeight="false" outlineLevel="0" collapsed="false">
      <c r="A29" s="2" t="s">
        <v>163</v>
      </c>
      <c r="B29" s="2" t="s">
        <v>55</v>
      </c>
      <c r="C29" s="2" t="s">
        <v>56</v>
      </c>
      <c r="D29" s="2" t="s">
        <v>57</v>
      </c>
      <c r="E29" s="2" t="s">
        <v>159</v>
      </c>
      <c r="F29" s="2" t="s">
        <v>164</v>
      </c>
      <c r="G29" s="2" t="s">
        <v>165</v>
      </c>
      <c r="H29" s="2" t="s">
        <v>166</v>
      </c>
      <c r="I29" s="2" t="s">
        <v>85</v>
      </c>
      <c r="J29" s="2" t="s">
        <v>80</v>
      </c>
      <c r="K29" s="2" t="s">
        <v>100</v>
      </c>
      <c r="L29" s="3"/>
      <c r="M29" s="3"/>
      <c r="N29" s="3"/>
    </row>
    <row r="30" customFormat="false" ht="52.2" hidden="false" customHeight="false" outlineLevel="0" collapsed="false">
      <c r="A30" s="2" t="s">
        <v>167</v>
      </c>
      <c r="B30" s="2" t="s">
        <v>55</v>
      </c>
      <c r="C30" s="2" t="s">
        <v>56</v>
      </c>
      <c r="D30" s="2" t="s">
        <v>57</v>
      </c>
      <c r="E30" s="2" t="s">
        <v>159</v>
      </c>
      <c r="F30" s="2" t="s">
        <v>168</v>
      </c>
      <c r="G30" s="2" t="s">
        <v>169</v>
      </c>
      <c r="H30" s="2" t="s">
        <v>170</v>
      </c>
      <c r="I30" s="2" t="s">
        <v>85</v>
      </c>
      <c r="J30" s="2" t="s">
        <v>80</v>
      </c>
      <c r="K30" s="2" t="s">
        <v>100</v>
      </c>
      <c r="L30" s="3"/>
      <c r="M30" s="3"/>
      <c r="N30" s="3"/>
    </row>
    <row r="31" customFormat="false" ht="39.55" hidden="false" customHeight="false" outlineLevel="0" collapsed="false">
      <c r="A31" s="2" t="s">
        <v>171</v>
      </c>
      <c r="B31" s="2" t="s">
        <v>55</v>
      </c>
      <c r="C31" s="2" t="s">
        <v>56</v>
      </c>
      <c r="D31" s="2" t="s">
        <v>57</v>
      </c>
      <c r="E31" s="2" t="s">
        <v>159</v>
      </c>
      <c r="F31" s="2" t="s">
        <v>172</v>
      </c>
      <c r="G31" s="2" t="s">
        <v>173</v>
      </c>
      <c r="H31" s="2" t="s">
        <v>172</v>
      </c>
      <c r="I31" s="2" t="s">
        <v>126</v>
      </c>
      <c r="J31" s="2" t="s">
        <v>80</v>
      </c>
      <c r="K31" s="2" t="s">
        <v>100</v>
      </c>
      <c r="L31" s="3"/>
      <c r="M31" s="3"/>
      <c r="N31" s="3"/>
    </row>
    <row r="32" customFormat="false" ht="39.55" hidden="false" customHeight="false" outlineLevel="0" collapsed="false">
      <c r="A32" s="2" t="s">
        <v>174</v>
      </c>
      <c r="B32" s="2" t="s">
        <v>55</v>
      </c>
      <c r="C32" s="2" t="s">
        <v>56</v>
      </c>
      <c r="D32" s="2" t="s">
        <v>57</v>
      </c>
      <c r="E32" s="2" t="s">
        <v>159</v>
      </c>
      <c r="F32" s="2" t="s">
        <v>175</v>
      </c>
      <c r="G32" s="2" t="s">
        <v>176</v>
      </c>
      <c r="H32" s="2"/>
      <c r="I32" s="2" t="s">
        <v>177</v>
      </c>
      <c r="J32" s="2" t="s">
        <v>80</v>
      </c>
      <c r="K32" s="2" t="s">
        <v>100</v>
      </c>
      <c r="L32" s="3"/>
      <c r="M32" s="3"/>
      <c r="N32" s="3"/>
    </row>
    <row r="33" customFormat="false" ht="39.55" hidden="false" customHeight="false" outlineLevel="0" collapsed="false">
      <c r="A33" s="2" t="s">
        <v>178</v>
      </c>
      <c r="B33" s="2" t="s">
        <v>55</v>
      </c>
      <c r="C33" s="2" t="s">
        <v>56</v>
      </c>
      <c r="D33" s="2" t="s">
        <v>57</v>
      </c>
      <c r="E33" s="2" t="s">
        <v>159</v>
      </c>
      <c r="F33" s="2" t="s">
        <v>179</v>
      </c>
      <c r="G33" s="2" t="s">
        <v>180</v>
      </c>
      <c r="H33" s="2"/>
      <c r="I33" s="2" t="s">
        <v>130</v>
      </c>
      <c r="J33" s="2" t="s">
        <v>80</v>
      </c>
      <c r="K33" s="2" t="s">
        <v>100</v>
      </c>
      <c r="L33" s="3"/>
      <c r="M33" s="3"/>
      <c r="N33" s="3"/>
    </row>
    <row r="34" customFormat="false" ht="39.55" hidden="false" customHeight="false" outlineLevel="0" collapsed="false">
      <c r="A34" s="2" t="s">
        <v>181</v>
      </c>
      <c r="B34" s="2" t="s">
        <v>55</v>
      </c>
      <c r="C34" s="2" t="s">
        <v>56</v>
      </c>
      <c r="D34" s="2" t="s">
        <v>57</v>
      </c>
      <c r="E34" s="2" t="s">
        <v>159</v>
      </c>
      <c r="F34" s="2" t="s">
        <v>182</v>
      </c>
      <c r="G34" s="2" t="s">
        <v>183</v>
      </c>
      <c r="H34" s="2"/>
      <c r="I34" s="2" t="s">
        <v>184</v>
      </c>
      <c r="J34" s="2" t="s">
        <v>185</v>
      </c>
      <c r="K34" s="2" t="s">
        <v>186</v>
      </c>
      <c r="L34" s="3"/>
      <c r="M34" s="3"/>
      <c r="N34" s="3"/>
    </row>
    <row r="35" customFormat="false" ht="39.55" hidden="false" customHeight="false" outlineLevel="0" collapsed="false">
      <c r="A35" s="2" t="s">
        <v>187</v>
      </c>
      <c r="B35" s="2" t="s">
        <v>55</v>
      </c>
      <c r="C35" s="2" t="s">
        <v>56</v>
      </c>
      <c r="D35" s="2" t="s">
        <v>57</v>
      </c>
      <c r="E35" s="2" t="s">
        <v>159</v>
      </c>
      <c r="F35" s="2" t="s">
        <v>188</v>
      </c>
      <c r="G35" s="2" t="s">
        <v>189</v>
      </c>
      <c r="H35" s="2"/>
      <c r="I35" s="2" t="s">
        <v>133</v>
      </c>
      <c r="J35" s="2" t="s">
        <v>80</v>
      </c>
      <c r="K35" s="2" t="s">
        <v>100</v>
      </c>
      <c r="L35" s="3"/>
      <c r="M35" s="3"/>
      <c r="N35" s="3"/>
    </row>
    <row r="36" customFormat="false" ht="39.55" hidden="false" customHeight="false" outlineLevel="0" collapsed="false">
      <c r="A36" s="2" t="s">
        <v>190</v>
      </c>
      <c r="B36" s="2" t="s">
        <v>55</v>
      </c>
      <c r="C36" s="2" t="s">
        <v>56</v>
      </c>
      <c r="D36" s="2" t="s">
        <v>57</v>
      </c>
      <c r="E36" s="2" t="s">
        <v>159</v>
      </c>
      <c r="F36" s="2" t="s">
        <v>191</v>
      </c>
      <c r="G36" s="2" t="s">
        <v>192</v>
      </c>
      <c r="H36" s="2"/>
      <c r="I36" s="2" t="s">
        <v>136</v>
      </c>
      <c r="J36" s="2" t="s">
        <v>80</v>
      </c>
      <c r="K36" s="2" t="s">
        <v>100</v>
      </c>
      <c r="L36" s="3"/>
      <c r="M36" s="3"/>
      <c r="N36" s="3"/>
    </row>
    <row r="37" customFormat="false" ht="39.55" hidden="false" customHeight="false" outlineLevel="0" collapsed="false">
      <c r="A37" s="2" t="s">
        <v>193</v>
      </c>
      <c r="B37" s="2" t="s">
        <v>55</v>
      </c>
      <c r="C37" s="2" t="s">
        <v>56</v>
      </c>
      <c r="D37" s="2" t="s">
        <v>57</v>
      </c>
      <c r="E37" s="2" t="s">
        <v>159</v>
      </c>
      <c r="F37" s="2" t="s">
        <v>162</v>
      </c>
      <c r="G37" s="2" t="s">
        <v>194</v>
      </c>
      <c r="H37" s="2" t="s">
        <v>162</v>
      </c>
      <c r="I37" s="2" t="s">
        <v>195</v>
      </c>
      <c r="J37" s="2" t="s">
        <v>153</v>
      </c>
      <c r="K37" s="2" t="s">
        <v>100</v>
      </c>
      <c r="L37" s="3"/>
      <c r="M37" s="3"/>
      <c r="N37" s="3"/>
    </row>
    <row r="38" customFormat="false" ht="39.55" hidden="false" customHeight="false" outlineLevel="0" collapsed="false">
      <c r="A38" s="2" t="s">
        <v>196</v>
      </c>
      <c r="B38" s="2" t="s">
        <v>55</v>
      </c>
      <c r="C38" s="2" t="s">
        <v>56</v>
      </c>
      <c r="D38" s="2" t="s">
        <v>57</v>
      </c>
      <c r="E38" s="2" t="s">
        <v>159</v>
      </c>
      <c r="F38" s="2" t="s">
        <v>166</v>
      </c>
      <c r="G38" s="2" t="s">
        <v>194</v>
      </c>
      <c r="H38" s="2" t="s">
        <v>166</v>
      </c>
      <c r="I38" s="2" t="s">
        <v>195</v>
      </c>
      <c r="J38" s="2" t="s">
        <v>153</v>
      </c>
      <c r="K38" s="2" t="s">
        <v>100</v>
      </c>
      <c r="L38" s="3"/>
      <c r="M38" s="3"/>
      <c r="N38" s="3"/>
    </row>
    <row r="39" customFormat="false" ht="39.55" hidden="false" customHeight="false" outlineLevel="0" collapsed="false">
      <c r="A39" s="2" t="s">
        <v>197</v>
      </c>
      <c r="B39" s="2" t="s">
        <v>55</v>
      </c>
      <c r="C39" s="2" t="s">
        <v>56</v>
      </c>
      <c r="D39" s="2" t="s">
        <v>57</v>
      </c>
      <c r="E39" s="2" t="s">
        <v>159</v>
      </c>
      <c r="F39" s="2" t="s">
        <v>179</v>
      </c>
      <c r="G39" s="2" t="s">
        <v>198</v>
      </c>
      <c r="H39" s="2"/>
      <c r="I39" s="2" t="s">
        <v>195</v>
      </c>
      <c r="J39" s="2" t="s">
        <v>153</v>
      </c>
      <c r="K39" s="2" t="s">
        <v>100</v>
      </c>
      <c r="L39" s="3"/>
      <c r="M39" s="3"/>
      <c r="N39" s="3"/>
    </row>
    <row r="40" customFormat="false" ht="64.9" hidden="false" customHeight="false" outlineLevel="0" collapsed="false">
      <c r="A40" s="2" t="s">
        <v>199</v>
      </c>
      <c r="B40" s="2" t="s">
        <v>55</v>
      </c>
      <c r="C40" s="2" t="s">
        <v>56</v>
      </c>
      <c r="D40" s="2" t="s">
        <v>57</v>
      </c>
      <c r="E40" s="2" t="s">
        <v>200</v>
      </c>
      <c r="F40" s="2" t="s">
        <v>201</v>
      </c>
      <c r="G40" s="2" t="s">
        <v>202</v>
      </c>
      <c r="H40" s="2"/>
      <c r="I40" s="2" t="s">
        <v>203</v>
      </c>
      <c r="J40" s="2" t="s">
        <v>204</v>
      </c>
      <c r="K40" s="2" t="s">
        <v>186</v>
      </c>
      <c r="L40" s="3"/>
      <c r="M40" s="3"/>
      <c r="N40" s="3"/>
    </row>
    <row r="41" customFormat="false" ht="64.9" hidden="false" customHeight="false" outlineLevel="0" collapsed="false">
      <c r="A41" s="2" t="s">
        <v>205</v>
      </c>
      <c r="B41" s="2" t="s">
        <v>55</v>
      </c>
      <c r="C41" s="2" t="s">
        <v>56</v>
      </c>
      <c r="D41" s="2" t="s">
        <v>57</v>
      </c>
      <c r="E41" s="2" t="s">
        <v>200</v>
      </c>
      <c r="F41" s="2" t="s">
        <v>206</v>
      </c>
      <c r="G41" s="2" t="s">
        <v>207</v>
      </c>
      <c r="H41" s="2"/>
      <c r="I41" s="2" t="s">
        <v>208</v>
      </c>
      <c r="J41" s="2" t="s">
        <v>204</v>
      </c>
      <c r="K41" s="2" t="s">
        <v>186</v>
      </c>
      <c r="L41" s="3"/>
      <c r="M41" s="3"/>
      <c r="N41" s="3"/>
    </row>
    <row r="42" customFormat="false" ht="39.55" hidden="false" customHeight="false" outlineLevel="0" collapsed="false">
      <c r="A42" s="2" t="s">
        <v>209</v>
      </c>
      <c r="B42" s="2" t="s">
        <v>55</v>
      </c>
      <c r="C42" s="2" t="s">
        <v>56</v>
      </c>
      <c r="D42" s="2" t="s">
        <v>57</v>
      </c>
      <c r="E42" s="2" t="s">
        <v>210</v>
      </c>
      <c r="F42" s="2" t="s">
        <v>211</v>
      </c>
      <c r="G42" s="2" t="s">
        <v>212</v>
      </c>
      <c r="H42" s="2" t="s">
        <v>213</v>
      </c>
      <c r="I42" s="2" t="s">
        <v>214</v>
      </c>
      <c r="J42" s="2" t="s">
        <v>80</v>
      </c>
      <c r="K42" s="2" t="s">
        <v>100</v>
      </c>
      <c r="L42" s="3"/>
      <c r="M42" s="3"/>
      <c r="N42" s="3"/>
    </row>
    <row r="43" customFormat="false" ht="26.85" hidden="false" customHeight="false" outlineLevel="0" collapsed="false">
      <c r="A43" s="2" t="s">
        <v>215</v>
      </c>
      <c r="B43" s="2" t="s">
        <v>55</v>
      </c>
      <c r="C43" s="2" t="s">
        <v>56</v>
      </c>
      <c r="D43" s="2" t="s">
        <v>57</v>
      </c>
      <c r="E43" s="2" t="s">
        <v>210</v>
      </c>
      <c r="F43" s="2" t="s">
        <v>216</v>
      </c>
      <c r="G43" s="2" t="s">
        <v>217</v>
      </c>
      <c r="H43" s="2" t="s">
        <v>216</v>
      </c>
      <c r="I43" s="2" t="s">
        <v>140</v>
      </c>
      <c r="J43" s="2" t="s">
        <v>80</v>
      </c>
      <c r="K43" s="2" t="s">
        <v>100</v>
      </c>
      <c r="L43" s="3"/>
      <c r="M43" s="3"/>
      <c r="N43" s="3"/>
    </row>
    <row r="44" customFormat="false" ht="64.9" hidden="false" customHeight="false" outlineLevel="0" collapsed="false">
      <c r="A44" s="2" t="s">
        <v>218</v>
      </c>
      <c r="B44" s="2" t="s">
        <v>55</v>
      </c>
      <c r="C44" s="2" t="s">
        <v>56</v>
      </c>
      <c r="D44" s="2" t="s">
        <v>57</v>
      </c>
      <c r="E44" s="2" t="s">
        <v>219</v>
      </c>
      <c r="F44" s="2" t="s">
        <v>220</v>
      </c>
      <c r="G44" s="2" t="s">
        <v>221</v>
      </c>
      <c r="H44" s="2"/>
      <c r="I44" s="2" t="s">
        <v>140</v>
      </c>
      <c r="J44" s="2" t="s">
        <v>80</v>
      </c>
      <c r="K44" s="2" t="s">
        <v>100</v>
      </c>
      <c r="L44" s="3"/>
      <c r="M44" s="3"/>
      <c r="N44" s="3"/>
    </row>
    <row r="45" customFormat="false" ht="52.2" hidden="false" customHeight="false" outlineLevel="0" collapsed="false">
      <c r="A45" s="2" t="s">
        <v>222</v>
      </c>
      <c r="B45" s="2" t="s">
        <v>55</v>
      </c>
      <c r="C45" s="2" t="s">
        <v>56</v>
      </c>
      <c r="D45" s="2" t="s">
        <v>57</v>
      </c>
      <c r="E45" s="2" t="s">
        <v>219</v>
      </c>
      <c r="F45" s="2" t="s">
        <v>223</v>
      </c>
      <c r="G45" s="2" t="s">
        <v>224</v>
      </c>
      <c r="H45" s="2"/>
      <c r="I45" s="2" t="s">
        <v>195</v>
      </c>
      <c r="J45" s="2" t="s">
        <v>153</v>
      </c>
      <c r="K45" s="2" t="s">
        <v>100</v>
      </c>
      <c r="L45" s="3"/>
      <c r="M45" s="3"/>
      <c r="N45" s="3"/>
    </row>
    <row r="46" customFormat="false" ht="39.55" hidden="false" customHeight="false" outlineLevel="0" collapsed="false">
      <c r="A46" s="2" t="s">
        <v>225</v>
      </c>
      <c r="B46" s="2" t="s">
        <v>55</v>
      </c>
      <c r="C46" s="2" t="s">
        <v>56</v>
      </c>
      <c r="D46" s="2" t="s">
        <v>57</v>
      </c>
      <c r="E46" s="2" t="s">
        <v>219</v>
      </c>
      <c r="F46" s="2" t="s">
        <v>226</v>
      </c>
      <c r="G46" s="2" t="s">
        <v>227</v>
      </c>
      <c r="H46" s="2"/>
      <c r="I46" s="2" t="s">
        <v>147</v>
      </c>
      <c r="J46" s="2" t="s">
        <v>90</v>
      </c>
      <c r="K46" s="2" t="s">
        <v>100</v>
      </c>
      <c r="L46" s="3"/>
      <c r="M46" s="3"/>
      <c r="N46" s="3"/>
    </row>
    <row r="47" customFormat="false" ht="90.25" hidden="false" customHeight="false" outlineLevel="0" collapsed="false">
      <c r="A47" s="2" t="s">
        <v>228</v>
      </c>
      <c r="B47" s="2" t="s">
        <v>55</v>
      </c>
      <c r="C47" s="2" t="s">
        <v>56</v>
      </c>
      <c r="D47" s="2" t="s">
        <v>57</v>
      </c>
      <c r="E47" s="2" t="s">
        <v>229</v>
      </c>
      <c r="F47" s="2" t="s">
        <v>229</v>
      </c>
      <c r="G47" s="2" t="s">
        <v>230</v>
      </c>
      <c r="H47" s="2"/>
      <c r="I47" s="2" t="s">
        <v>89</v>
      </c>
      <c r="J47" s="2" t="s">
        <v>90</v>
      </c>
      <c r="K47" s="2" t="s">
        <v>81</v>
      </c>
      <c r="L47" s="3"/>
      <c r="M47" s="3"/>
      <c r="N47" s="3"/>
    </row>
    <row r="48" customFormat="false" ht="26.85" hidden="false" customHeight="false" outlineLevel="0" collapsed="false">
      <c r="A48" s="2" t="s">
        <v>231</v>
      </c>
      <c r="B48" s="2" t="s">
        <v>232</v>
      </c>
      <c r="C48" s="2" t="s">
        <v>233</v>
      </c>
      <c r="D48" s="2" t="s">
        <v>234</v>
      </c>
      <c r="E48" s="2" t="s">
        <v>58</v>
      </c>
      <c r="F48" s="2" t="s">
        <v>59</v>
      </c>
      <c r="G48" s="2" t="s">
        <v>235</v>
      </c>
      <c r="H48" s="2"/>
      <c r="I48" s="2"/>
      <c r="J48" s="2"/>
      <c r="K48" s="2"/>
      <c r="L48" s="3"/>
      <c r="M48" s="3"/>
      <c r="N48" s="3"/>
    </row>
    <row r="49" customFormat="false" ht="26.85" hidden="false" customHeight="false" outlineLevel="0" collapsed="false">
      <c r="A49" s="2" t="s">
        <v>236</v>
      </c>
      <c r="B49" s="2" t="s">
        <v>232</v>
      </c>
      <c r="C49" s="2" t="s">
        <v>233</v>
      </c>
      <c r="D49" s="2" t="s">
        <v>234</v>
      </c>
      <c r="E49" s="2" t="s">
        <v>58</v>
      </c>
      <c r="F49" s="2" t="s">
        <v>62</v>
      </c>
      <c r="G49" s="2" t="s">
        <v>63</v>
      </c>
      <c r="H49" s="2"/>
      <c r="I49" s="2"/>
      <c r="J49" s="2"/>
      <c r="K49" s="2"/>
      <c r="L49" s="3"/>
      <c r="M49" s="3"/>
      <c r="N49" s="3"/>
    </row>
    <row r="50" customFormat="false" ht="26.85" hidden="false" customHeight="false" outlineLevel="0" collapsed="false">
      <c r="A50" s="2" t="s">
        <v>237</v>
      </c>
      <c r="B50" s="2" t="s">
        <v>232</v>
      </c>
      <c r="C50" s="2" t="s">
        <v>233</v>
      </c>
      <c r="D50" s="2" t="s">
        <v>234</v>
      </c>
      <c r="E50" s="2" t="s">
        <v>58</v>
      </c>
      <c r="F50" s="2" t="s">
        <v>77</v>
      </c>
      <c r="G50" s="2" t="s">
        <v>238</v>
      </c>
      <c r="H50" s="2"/>
      <c r="I50" s="2" t="s">
        <v>239</v>
      </c>
      <c r="J50" s="2" t="s">
        <v>240</v>
      </c>
      <c r="K50" s="2" t="s">
        <v>81</v>
      </c>
      <c r="L50" s="3"/>
      <c r="M50" s="3"/>
      <c r="N50" s="3"/>
    </row>
    <row r="51" customFormat="false" ht="26.85" hidden="false" customHeight="false" outlineLevel="0" collapsed="false">
      <c r="A51" s="2" t="s">
        <v>241</v>
      </c>
      <c r="B51" s="2" t="s">
        <v>232</v>
      </c>
      <c r="C51" s="2" t="s">
        <v>233</v>
      </c>
      <c r="D51" s="2" t="s">
        <v>234</v>
      </c>
      <c r="E51" s="2" t="s">
        <v>58</v>
      </c>
      <c r="F51" s="2" t="s">
        <v>83</v>
      </c>
      <c r="G51" s="2" t="s">
        <v>242</v>
      </c>
      <c r="H51" s="2"/>
      <c r="I51" s="2" t="s">
        <v>243</v>
      </c>
      <c r="J51" s="2" t="s">
        <v>244</v>
      </c>
      <c r="K51" s="2" t="s">
        <v>81</v>
      </c>
      <c r="L51" s="3"/>
      <c r="M51" s="3"/>
      <c r="N51" s="3"/>
    </row>
    <row r="52" customFormat="false" ht="39.55" hidden="false" customHeight="false" outlineLevel="0" collapsed="false">
      <c r="A52" s="2" t="s">
        <v>245</v>
      </c>
      <c r="B52" s="2" t="s">
        <v>232</v>
      </c>
      <c r="C52" s="2" t="s">
        <v>233</v>
      </c>
      <c r="D52" s="2" t="s">
        <v>234</v>
      </c>
      <c r="E52" s="2" t="s">
        <v>58</v>
      </c>
      <c r="F52" s="2" t="s">
        <v>87</v>
      </c>
      <c r="G52" s="2" t="s">
        <v>246</v>
      </c>
      <c r="H52" s="2"/>
      <c r="I52" s="2" t="s">
        <v>247</v>
      </c>
      <c r="J52" s="2" t="s">
        <v>240</v>
      </c>
      <c r="K52" s="2" t="s">
        <v>81</v>
      </c>
      <c r="L52" s="3"/>
      <c r="M52" s="3"/>
      <c r="N52" s="3"/>
    </row>
    <row r="53" customFormat="false" ht="26.85" hidden="false" customHeight="false" outlineLevel="0" collapsed="false">
      <c r="A53" s="2" t="s">
        <v>248</v>
      </c>
      <c r="B53" s="2" t="s">
        <v>232</v>
      </c>
      <c r="C53" s="2" t="s">
        <v>233</v>
      </c>
      <c r="D53" s="2" t="s">
        <v>234</v>
      </c>
      <c r="E53" s="2" t="s">
        <v>92</v>
      </c>
      <c r="F53" s="2" t="s">
        <v>249</v>
      </c>
      <c r="G53" s="2" t="s">
        <v>250</v>
      </c>
      <c r="H53" s="2"/>
      <c r="I53" s="2"/>
      <c r="J53" s="2"/>
      <c r="K53" s="2"/>
      <c r="L53" s="3"/>
      <c r="M53" s="3"/>
      <c r="N53" s="3"/>
    </row>
    <row r="54" customFormat="false" ht="39.55" hidden="false" customHeight="false" outlineLevel="0" collapsed="false">
      <c r="A54" s="2" t="s">
        <v>251</v>
      </c>
      <c r="B54" s="2" t="s">
        <v>232</v>
      </c>
      <c r="C54" s="2" t="s">
        <v>233</v>
      </c>
      <c r="D54" s="2" t="s">
        <v>234</v>
      </c>
      <c r="E54" s="2" t="s">
        <v>92</v>
      </c>
      <c r="F54" s="2" t="s">
        <v>93</v>
      </c>
      <c r="G54" s="2" t="s">
        <v>252</v>
      </c>
      <c r="H54" s="2"/>
      <c r="I54" s="2"/>
      <c r="J54" s="2"/>
      <c r="K54" s="2"/>
      <c r="L54" s="3"/>
      <c r="M54" s="3"/>
      <c r="N54" s="3"/>
    </row>
    <row r="55" customFormat="false" ht="39.55" hidden="false" customHeight="false" outlineLevel="0" collapsed="false">
      <c r="A55" s="2" t="s">
        <v>253</v>
      </c>
      <c r="B55" s="2" t="s">
        <v>232</v>
      </c>
      <c r="C55" s="2" t="s">
        <v>233</v>
      </c>
      <c r="D55" s="2" t="s">
        <v>234</v>
      </c>
      <c r="E55" s="2" t="s">
        <v>96</v>
      </c>
      <c r="F55" s="2" t="s">
        <v>254</v>
      </c>
      <c r="G55" s="2" t="s">
        <v>255</v>
      </c>
      <c r="H55" s="2" t="s">
        <v>256</v>
      </c>
      <c r="I55" s="2" t="s">
        <v>247</v>
      </c>
      <c r="J55" s="2" t="s">
        <v>240</v>
      </c>
      <c r="K55" s="2" t="s">
        <v>100</v>
      </c>
      <c r="L55" s="3"/>
      <c r="M55" s="3"/>
      <c r="N55" s="3"/>
    </row>
    <row r="56" customFormat="false" ht="26.85" hidden="false" customHeight="false" outlineLevel="0" collapsed="false">
      <c r="A56" s="2" t="s">
        <v>257</v>
      </c>
      <c r="B56" s="2" t="s">
        <v>232</v>
      </c>
      <c r="C56" s="2" t="s">
        <v>233</v>
      </c>
      <c r="D56" s="2" t="s">
        <v>234</v>
      </c>
      <c r="E56" s="2" t="s">
        <v>96</v>
      </c>
      <c r="F56" s="2" t="s">
        <v>258</v>
      </c>
      <c r="G56" s="2" t="s">
        <v>259</v>
      </c>
      <c r="H56" s="2" t="s">
        <v>260</v>
      </c>
      <c r="I56" s="2" t="s">
        <v>239</v>
      </c>
      <c r="J56" s="2" t="s">
        <v>240</v>
      </c>
      <c r="K56" s="2" t="s">
        <v>100</v>
      </c>
      <c r="L56" s="3"/>
      <c r="M56" s="3"/>
      <c r="N56" s="3"/>
    </row>
    <row r="57" customFormat="false" ht="39.55" hidden="false" customHeight="false" outlineLevel="0" collapsed="false">
      <c r="A57" s="2" t="s">
        <v>261</v>
      </c>
      <c r="B57" s="2" t="s">
        <v>232</v>
      </c>
      <c r="C57" s="2" t="s">
        <v>233</v>
      </c>
      <c r="D57" s="2" t="s">
        <v>234</v>
      </c>
      <c r="E57" s="2" t="s">
        <v>96</v>
      </c>
      <c r="F57" s="2" t="s">
        <v>262</v>
      </c>
      <c r="G57" s="2" t="s">
        <v>263</v>
      </c>
      <c r="H57" s="2" t="s">
        <v>264</v>
      </c>
      <c r="I57" s="2" t="s">
        <v>265</v>
      </c>
      <c r="J57" s="2" t="s">
        <v>240</v>
      </c>
      <c r="K57" s="2" t="s">
        <v>100</v>
      </c>
      <c r="L57" s="3"/>
      <c r="M57" s="3"/>
      <c r="N57" s="3"/>
    </row>
    <row r="58" customFormat="false" ht="39.55" hidden="false" customHeight="false" outlineLevel="0" collapsed="false">
      <c r="A58" s="2" t="s">
        <v>266</v>
      </c>
      <c r="B58" s="2" t="s">
        <v>232</v>
      </c>
      <c r="C58" s="2" t="s">
        <v>233</v>
      </c>
      <c r="D58" s="2" t="s">
        <v>234</v>
      </c>
      <c r="E58" s="2" t="s">
        <v>96</v>
      </c>
      <c r="F58" s="2" t="s">
        <v>267</v>
      </c>
      <c r="G58" s="2" t="s">
        <v>268</v>
      </c>
      <c r="H58" s="2"/>
      <c r="I58" s="2" t="s">
        <v>269</v>
      </c>
      <c r="J58" s="2" t="s">
        <v>240</v>
      </c>
      <c r="K58" s="2" t="s">
        <v>100</v>
      </c>
      <c r="L58" s="3"/>
      <c r="M58" s="3"/>
      <c r="N58" s="3"/>
    </row>
    <row r="59" customFormat="false" ht="39.55" hidden="false" customHeight="false" outlineLevel="0" collapsed="false">
      <c r="A59" s="2" t="s">
        <v>270</v>
      </c>
      <c r="B59" s="2" t="s">
        <v>232</v>
      </c>
      <c r="C59" s="2" t="s">
        <v>233</v>
      </c>
      <c r="D59" s="2" t="s">
        <v>234</v>
      </c>
      <c r="E59" s="2" t="s">
        <v>96</v>
      </c>
      <c r="F59" s="2" t="s">
        <v>271</v>
      </c>
      <c r="G59" s="2"/>
      <c r="H59" s="2" t="s">
        <v>272</v>
      </c>
      <c r="I59" s="2" t="s">
        <v>269</v>
      </c>
      <c r="J59" s="2" t="s">
        <v>240</v>
      </c>
      <c r="K59" s="2" t="s">
        <v>100</v>
      </c>
      <c r="L59" s="3"/>
      <c r="M59" s="3"/>
      <c r="N59" s="3"/>
    </row>
    <row r="60" customFormat="false" ht="39.55" hidden="false" customHeight="false" outlineLevel="0" collapsed="false">
      <c r="A60" s="2" t="s">
        <v>273</v>
      </c>
      <c r="B60" s="2" t="s">
        <v>232</v>
      </c>
      <c r="C60" s="2" t="s">
        <v>233</v>
      </c>
      <c r="D60" s="2" t="s">
        <v>234</v>
      </c>
      <c r="E60" s="2" t="s">
        <v>96</v>
      </c>
      <c r="F60" s="2" t="s">
        <v>274</v>
      </c>
      <c r="G60" s="2"/>
      <c r="H60" s="2"/>
      <c r="I60" s="2" t="s">
        <v>269</v>
      </c>
      <c r="J60" s="2" t="s">
        <v>240</v>
      </c>
      <c r="K60" s="2" t="s">
        <v>100</v>
      </c>
      <c r="L60" s="3"/>
      <c r="M60" s="3"/>
      <c r="N60" s="3"/>
    </row>
    <row r="61" customFormat="false" ht="26.85" hidden="false" customHeight="false" outlineLevel="0" collapsed="false">
      <c r="A61" s="2" t="s">
        <v>275</v>
      </c>
      <c r="B61" s="2" t="s">
        <v>232</v>
      </c>
      <c r="C61" s="2" t="s">
        <v>233</v>
      </c>
      <c r="D61" s="2" t="s">
        <v>234</v>
      </c>
      <c r="E61" s="2" t="s">
        <v>96</v>
      </c>
      <c r="F61" s="2" t="s">
        <v>276</v>
      </c>
      <c r="G61" s="2" t="s">
        <v>277</v>
      </c>
      <c r="H61" s="2" t="s">
        <v>278</v>
      </c>
      <c r="I61" s="2" t="s">
        <v>279</v>
      </c>
      <c r="J61" s="2" t="s">
        <v>240</v>
      </c>
      <c r="K61" s="2" t="s">
        <v>100</v>
      </c>
      <c r="L61" s="3"/>
      <c r="M61" s="3"/>
      <c r="N61" s="3"/>
    </row>
    <row r="62" customFormat="false" ht="26.85" hidden="false" customHeight="false" outlineLevel="0" collapsed="false">
      <c r="A62" s="2" t="s">
        <v>280</v>
      </c>
      <c r="B62" s="2" t="s">
        <v>232</v>
      </c>
      <c r="C62" s="2" t="s">
        <v>233</v>
      </c>
      <c r="D62" s="2" t="s">
        <v>234</v>
      </c>
      <c r="E62" s="2" t="s">
        <v>96</v>
      </c>
      <c r="F62" s="2" t="s">
        <v>281</v>
      </c>
      <c r="G62" s="2"/>
      <c r="H62" s="2"/>
      <c r="I62" s="2" t="s">
        <v>279</v>
      </c>
      <c r="J62" s="2" t="s">
        <v>240</v>
      </c>
      <c r="K62" s="2" t="s">
        <v>100</v>
      </c>
      <c r="L62" s="3"/>
      <c r="M62" s="3"/>
      <c r="N62" s="3"/>
    </row>
    <row r="63" customFormat="false" ht="52.2" hidden="false" customHeight="false" outlineLevel="0" collapsed="false">
      <c r="A63" s="2" t="s">
        <v>282</v>
      </c>
      <c r="B63" s="2" t="s">
        <v>232</v>
      </c>
      <c r="C63" s="2" t="s">
        <v>233</v>
      </c>
      <c r="D63" s="2" t="s">
        <v>234</v>
      </c>
      <c r="E63" s="2" t="s">
        <v>96</v>
      </c>
      <c r="F63" s="2" t="s">
        <v>283</v>
      </c>
      <c r="G63" s="2" t="s">
        <v>284</v>
      </c>
      <c r="H63" s="2"/>
      <c r="I63" s="2" t="s">
        <v>285</v>
      </c>
      <c r="J63" s="2" t="s">
        <v>286</v>
      </c>
      <c r="K63" s="2" t="s">
        <v>100</v>
      </c>
      <c r="L63" s="3"/>
      <c r="M63" s="3"/>
      <c r="N63" s="3"/>
    </row>
    <row r="64" customFormat="false" ht="39.55" hidden="false" customHeight="false" outlineLevel="0" collapsed="false">
      <c r="A64" s="2" t="s">
        <v>287</v>
      </c>
      <c r="B64" s="2" t="s">
        <v>232</v>
      </c>
      <c r="C64" s="2" t="s">
        <v>233</v>
      </c>
      <c r="D64" s="2" t="s">
        <v>234</v>
      </c>
      <c r="E64" s="2" t="s">
        <v>96</v>
      </c>
      <c r="F64" s="2" t="s">
        <v>288</v>
      </c>
      <c r="G64" s="2" t="s">
        <v>289</v>
      </c>
      <c r="H64" s="2"/>
      <c r="I64" s="2" t="s">
        <v>290</v>
      </c>
      <c r="J64" s="2" t="s">
        <v>291</v>
      </c>
      <c r="K64" s="2" t="s">
        <v>100</v>
      </c>
      <c r="L64" s="3"/>
      <c r="M64" s="3"/>
      <c r="N64" s="3"/>
    </row>
    <row r="65" customFormat="false" ht="26.85" hidden="false" customHeight="false" outlineLevel="0" collapsed="false">
      <c r="A65" s="2" t="s">
        <v>292</v>
      </c>
      <c r="B65" s="2" t="s">
        <v>232</v>
      </c>
      <c r="C65" s="2" t="s">
        <v>233</v>
      </c>
      <c r="D65" s="2" t="s">
        <v>234</v>
      </c>
      <c r="E65" s="2" t="s">
        <v>96</v>
      </c>
      <c r="F65" s="2" t="s">
        <v>293</v>
      </c>
      <c r="G65" s="2"/>
      <c r="H65" s="2" t="s">
        <v>294</v>
      </c>
      <c r="I65" s="2" t="s">
        <v>243</v>
      </c>
      <c r="J65" s="2" t="s">
        <v>244</v>
      </c>
      <c r="K65" s="2" t="s">
        <v>100</v>
      </c>
      <c r="L65" s="3"/>
      <c r="M65" s="3"/>
      <c r="N65" s="3"/>
    </row>
    <row r="66" customFormat="false" ht="26.85" hidden="false" customHeight="false" outlineLevel="0" collapsed="false">
      <c r="A66" s="2" t="s">
        <v>295</v>
      </c>
      <c r="B66" s="2" t="s">
        <v>232</v>
      </c>
      <c r="C66" s="2" t="s">
        <v>233</v>
      </c>
      <c r="D66" s="2" t="s">
        <v>234</v>
      </c>
      <c r="E66" s="2" t="s">
        <v>96</v>
      </c>
      <c r="F66" s="2" t="s">
        <v>296</v>
      </c>
      <c r="G66" s="2"/>
      <c r="H66" s="2" t="s">
        <v>297</v>
      </c>
      <c r="I66" s="2" t="s">
        <v>243</v>
      </c>
      <c r="J66" s="2" t="s">
        <v>244</v>
      </c>
      <c r="K66" s="2" t="s">
        <v>100</v>
      </c>
      <c r="L66" s="3"/>
      <c r="M66" s="3"/>
      <c r="N66" s="3"/>
    </row>
    <row r="67" customFormat="false" ht="26.85" hidden="false" customHeight="false" outlineLevel="0" collapsed="false">
      <c r="A67" s="2" t="s">
        <v>298</v>
      </c>
      <c r="B67" s="2" t="s">
        <v>232</v>
      </c>
      <c r="C67" s="2" t="s">
        <v>233</v>
      </c>
      <c r="D67" s="2" t="s">
        <v>234</v>
      </c>
      <c r="E67" s="2" t="s">
        <v>96</v>
      </c>
      <c r="F67" s="2" t="s">
        <v>299</v>
      </c>
      <c r="G67" s="2" t="s">
        <v>300</v>
      </c>
      <c r="H67" s="2"/>
      <c r="I67" s="2" t="s">
        <v>301</v>
      </c>
      <c r="J67" s="2" t="s">
        <v>244</v>
      </c>
      <c r="K67" s="2" t="s">
        <v>100</v>
      </c>
      <c r="L67" s="3"/>
      <c r="M67" s="3"/>
      <c r="N67" s="3"/>
    </row>
    <row r="68" customFormat="false" ht="26.85" hidden="false" customHeight="false" outlineLevel="0" collapsed="false">
      <c r="A68" s="2" t="s">
        <v>302</v>
      </c>
      <c r="B68" s="2" t="s">
        <v>232</v>
      </c>
      <c r="C68" s="2" t="s">
        <v>233</v>
      </c>
      <c r="D68" s="2" t="s">
        <v>234</v>
      </c>
      <c r="E68" s="2" t="s">
        <v>96</v>
      </c>
      <c r="F68" s="2" t="s">
        <v>303</v>
      </c>
      <c r="G68" s="2" t="s">
        <v>304</v>
      </c>
      <c r="H68" s="2" t="s">
        <v>305</v>
      </c>
      <c r="I68" s="2" t="s">
        <v>306</v>
      </c>
      <c r="J68" s="2" t="s">
        <v>244</v>
      </c>
      <c r="K68" s="2" t="s">
        <v>100</v>
      </c>
      <c r="L68" s="3"/>
      <c r="M68" s="3"/>
      <c r="N68" s="3"/>
    </row>
    <row r="69" customFormat="false" ht="26.85" hidden="false" customHeight="false" outlineLevel="0" collapsed="false">
      <c r="A69" s="2" t="s">
        <v>307</v>
      </c>
      <c r="B69" s="2" t="s">
        <v>232</v>
      </c>
      <c r="C69" s="2" t="s">
        <v>233</v>
      </c>
      <c r="D69" s="2" t="s">
        <v>234</v>
      </c>
      <c r="E69" s="2" t="s">
        <v>96</v>
      </c>
      <c r="F69" s="2" t="s">
        <v>308</v>
      </c>
      <c r="G69" s="2" t="s">
        <v>309</v>
      </c>
      <c r="H69" s="2"/>
      <c r="I69" s="2" t="s">
        <v>306</v>
      </c>
      <c r="J69" s="2" t="s">
        <v>244</v>
      </c>
      <c r="K69" s="2" t="s">
        <v>100</v>
      </c>
      <c r="L69" s="3"/>
      <c r="M69" s="3"/>
      <c r="N69" s="3"/>
    </row>
    <row r="70" customFormat="false" ht="26.85" hidden="false" customHeight="false" outlineLevel="0" collapsed="false">
      <c r="A70" s="2" t="s">
        <v>310</v>
      </c>
      <c r="B70" s="2" t="s">
        <v>232</v>
      </c>
      <c r="C70" s="2" t="s">
        <v>233</v>
      </c>
      <c r="D70" s="2" t="s">
        <v>234</v>
      </c>
      <c r="E70" s="2" t="s">
        <v>96</v>
      </c>
      <c r="F70" s="2" t="s">
        <v>311</v>
      </c>
      <c r="G70" s="2" t="s">
        <v>312</v>
      </c>
      <c r="H70" s="2"/>
      <c r="I70" s="2" t="s">
        <v>306</v>
      </c>
      <c r="J70" s="2" t="s">
        <v>244</v>
      </c>
      <c r="K70" s="2" t="s">
        <v>100</v>
      </c>
      <c r="L70" s="3"/>
      <c r="M70" s="3"/>
      <c r="N70" s="3"/>
    </row>
    <row r="71" customFormat="false" ht="26.85" hidden="false" customHeight="false" outlineLevel="0" collapsed="false">
      <c r="A71" s="2" t="s">
        <v>313</v>
      </c>
      <c r="B71" s="2" t="s">
        <v>232</v>
      </c>
      <c r="C71" s="2" t="s">
        <v>233</v>
      </c>
      <c r="D71" s="2" t="s">
        <v>234</v>
      </c>
      <c r="E71" s="2" t="s">
        <v>96</v>
      </c>
      <c r="F71" s="2" t="s">
        <v>311</v>
      </c>
      <c r="G71" s="2" t="s">
        <v>314</v>
      </c>
      <c r="H71" s="2"/>
      <c r="I71" s="2" t="s">
        <v>315</v>
      </c>
      <c r="J71" s="2" t="s">
        <v>316</v>
      </c>
      <c r="K71" s="2" t="s">
        <v>186</v>
      </c>
      <c r="L71" s="3"/>
      <c r="M71" s="3"/>
      <c r="N71" s="3"/>
    </row>
    <row r="72" customFormat="false" ht="26.85" hidden="false" customHeight="false" outlineLevel="0" collapsed="false">
      <c r="A72" s="2" t="s">
        <v>317</v>
      </c>
      <c r="B72" s="2" t="s">
        <v>232</v>
      </c>
      <c r="C72" s="2" t="s">
        <v>233</v>
      </c>
      <c r="D72" s="2" t="s">
        <v>234</v>
      </c>
      <c r="E72" s="2" t="s">
        <v>96</v>
      </c>
      <c r="F72" s="2" t="s">
        <v>318</v>
      </c>
      <c r="G72" s="2" t="s">
        <v>319</v>
      </c>
      <c r="H72" s="2"/>
      <c r="I72" s="2" t="s">
        <v>306</v>
      </c>
      <c r="J72" s="2" t="s">
        <v>244</v>
      </c>
      <c r="K72" s="2" t="s">
        <v>100</v>
      </c>
      <c r="L72" s="3"/>
      <c r="M72" s="3"/>
      <c r="N72" s="3"/>
    </row>
    <row r="73" customFormat="false" ht="26.85" hidden="false" customHeight="false" outlineLevel="0" collapsed="false">
      <c r="A73" s="2" t="s">
        <v>320</v>
      </c>
      <c r="B73" s="2" t="s">
        <v>232</v>
      </c>
      <c r="C73" s="2" t="s">
        <v>233</v>
      </c>
      <c r="D73" s="2" t="s">
        <v>234</v>
      </c>
      <c r="E73" s="2" t="s">
        <v>96</v>
      </c>
      <c r="F73" s="2" t="s">
        <v>321</v>
      </c>
      <c r="G73" s="2" t="s">
        <v>322</v>
      </c>
      <c r="H73" s="2"/>
      <c r="I73" s="2" t="s">
        <v>306</v>
      </c>
      <c r="J73" s="2" t="s">
        <v>244</v>
      </c>
      <c r="K73" s="2" t="s">
        <v>100</v>
      </c>
      <c r="L73" s="3"/>
      <c r="M73" s="3"/>
      <c r="N73" s="3"/>
    </row>
    <row r="74" customFormat="false" ht="26.85" hidden="false" customHeight="false" outlineLevel="0" collapsed="false">
      <c r="A74" s="2" t="s">
        <v>323</v>
      </c>
      <c r="B74" s="2" t="s">
        <v>232</v>
      </c>
      <c r="C74" s="2" t="s">
        <v>233</v>
      </c>
      <c r="D74" s="2" t="s">
        <v>234</v>
      </c>
      <c r="E74" s="2" t="s">
        <v>96</v>
      </c>
      <c r="F74" s="2" t="s">
        <v>324</v>
      </c>
      <c r="G74" s="2" t="s">
        <v>325</v>
      </c>
      <c r="H74" s="2"/>
      <c r="I74" s="2" t="s">
        <v>326</v>
      </c>
      <c r="J74" s="2" t="s">
        <v>244</v>
      </c>
      <c r="K74" s="2" t="s">
        <v>100</v>
      </c>
      <c r="L74" s="3"/>
      <c r="M74" s="3"/>
      <c r="N74" s="3"/>
    </row>
    <row r="75" customFormat="false" ht="26.85" hidden="false" customHeight="false" outlineLevel="0" collapsed="false">
      <c r="A75" s="2" t="s">
        <v>327</v>
      </c>
      <c r="B75" s="2" t="s">
        <v>232</v>
      </c>
      <c r="C75" s="2" t="s">
        <v>233</v>
      </c>
      <c r="D75" s="2" t="s">
        <v>234</v>
      </c>
      <c r="E75" s="2" t="s">
        <v>96</v>
      </c>
      <c r="F75" s="2" t="s">
        <v>328</v>
      </c>
      <c r="G75" s="2" t="s">
        <v>319</v>
      </c>
      <c r="H75" s="2"/>
      <c r="I75" s="2" t="s">
        <v>326</v>
      </c>
      <c r="J75" s="2" t="s">
        <v>244</v>
      </c>
      <c r="K75" s="2" t="s">
        <v>100</v>
      </c>
      <c r="L75" s="3"/>
      <c r="M75" s="3"/>
      <c r="N75" s="3"/>
    </row>
    <row r="76" customFormat="false" ht="26.85" hidden="false" customHeight="false" outlineLevel="0" collapsed="false">
      <c r="A76" s="2" t="s">
        <v>329</v>
      </c>
      <c r="B76" s="2" t="s">
        <v>232</v>
      </c>
      <c r="C76" s="2" t="s">
        <v>233</v>
      </c>
      <c r="D76" s="2" t="s">
        <v>234</v>
      </c>
      <c r="E76" s="2" t="s">
        <v>96</v>
      </c>
      <c r="F76" s="2" t="s">
        <v>330</v>
      </c>
      <c r="G76" s="2" t="s">
        <v>325</v>
      </c>
      <c r="H76" s="2"/>
      <c r="I76" s="2" t="s">
        <v>326</v>
      </c>
      <c r="J76" s="2" t="s">
        <v>244</v>
      </c>
      <c r="K76" s="2" t="s">
        <v>100</v>
      </c>
      <c r="L76" s="3"/>
      <c r="M76" s="3"/>
      <c r="N76" s="3"/>
    </row>
    <row r="77" customFormat="false" ht="26.85" hidden="false" customHeight="false" outlineLevel="0" collapsed="false">
      <c r="A77" s="2" t="s">
        <v>331</v>
      </c>
      <c r="B77" s="2" t="s">
        <v>232</v>
      </c>
      <c r="C77" s="2" t="s">
        <v>233</v>
      </c>
      <c r="D77" s="2" t="s">
        <v>234</v>
      </c>
      <c r="E77" s="2" t="s">
        <v>96</v>
      </c>
      <c r="F77" s="2" t="s">
        <v>332</v>
      </c>
      <c r="G77" s="2" t="s">
        <v>312</v>
      </c>
      <c r="H77" s="2" t="s">
        <v>333</v>
      </c>
      <c r="I77" s="2" t="s">
        <v>326</v>
      </c>
      <c r="J77" s="2" t="s">
        <v>244</v>
      </c>
      <c r="K77" s="2" t="s">
        <v>100</v>
      </c>
      <c r="L77" s="3"/>
      <c r="M77" s="3"/>
      <c r="N77" s="3"/>
    </row>
    <row r="78" customFormat="false" ht="26.85" hidden="false" customHeight="false" outlineLevel="0" collapsed="false">
      <c r="A78" s="2" t="s">
        <v>334</v>
      </c>
      <c r="B78" s="2" t="s">
        <v>232</v>
      </c>
      <c r="C78" s="2" t="s">
        <v>233</v>
      </c>
      <c r="D78" s="2" t="s">
        <v>234</v>
      </c>
      <c r="E78" s="2" t="s">
        <v>96</v>
      </c>
      <c r="F78" s="2" t="s">
        <v>332</v>
      </c>
      <c r="G78" s="2" t="s">
        <v>314</v>
      </c>
      <c r="H78" s="2" t="s">
        <v>333</v>
      </c>
      <c r="I78" s="2" t="s">
        <v>335</v>
      </c>
      <c r="J78" s="2" t="s">
        <v>336</v>
      </c>
      <c r="K78" s="2" t="s">
        <v>186</v>
      </c>
      <c r="L78" s="3"/>
      <c r="M78" s="3"/>
      <c r="N78" s="3"/>
    </row>
    <row r="79" customFormat="false" ht="26.85" hidden="false" customHeight="false" outlineLevel="0" collapsed="false">
      <c r="A79" s="2" t="s">
        <v>337</v>
      </c>
      <c r="B79" s="2" t="s">
        <v>232</v>
      </c>
      <c r="C79" s="2" t="s">
        <v>233</v>
      </c>
      <c r="D79" s="2" t="s">
        <v>234</v>
      </c>
      <c r="E79" s="2" t="s">
        <v>96</v>
      </c>
      <c r="F79" s="2" t="s">
        <v>267</v>
      </c>
      <c r="G79" s="2" t="s">
        <v>338</v>
      </c>
      <c r="H79" s="2"/>
      <c r="I79" s="2" t="s">
        <v>326</v>
      </c>
      <c r="J79" s="2" t="s">
        <v>244</v>
      </c>
      <c r="K79" s="2" t="s">
        <v>100</v>
      </c>
      <c r="L79" s="3"/>
      <c r="M79" s="3"/>
      <c r="N79" s="3"/>
    </row>
    <row r="80" customFormat="false" ht="26.85" hidden="false" customHeight="false" outlineLevel="0" collapsed="false">
      <c r="A80" s="2" t="s">
        <v>339</v>
      </c>
      <c r="B80" s="2" t="s">
        <v>232</v>
      </c>
      <c r="C80" s="2" t="s">
        <v>233</v>
      </c>
      <c r="D80" s="2" t="s">
        <v>234</v>
      </c>
      <c r="E80" s="2" t="s">
        <v>96</v>
      </c>
      <c r="F80" s="2" t="s">
        <v>340</v>
      </c>
      <c r="G80" s="2" t="s">
        <v>309</v>
      </c>
      <c r="H80" s="2"/>
      <c r="I80" s="2" t="s">
        <v>326</v>
      </c>
      <c r="J80" s="2" t="s">
        <v>244</v>
      </c>
      <c r="K80" s="2" t="s">
        <v>100</v>
      </c>
      <c r="L80" s="3"/>
      <c r="M80" s="3"/>
      <c r="N80" s="3"/>
    </row>
    <row r="81" customFormat="false" ht="39.55" hidden="false" customHeight="false" outlineLevel="0" collapsed="false">
      <c r="A81" s="2" t="s">
        <v>341</v>
      </c>
      <c r="B81" s="2" t="s">
        <v>232</v>
      </c>
      <c r="C81" s="2" t="s">
        <v>233</v>
      </c>
      <c r="D81" s="2" t="s">
        <v>234</v>
      </c>
      <c r="E81" s="2" t="s">
        <v>96</v>
      </c>
      <c r="F81" s="2" t="s">
        <v>342</v>
      </c>
      <c r="G81" s="2" t="s">
        <v>319</v>
      </c>
      <c r="H81" s="2"/>
      <c r="I81" s="2" t="s">
        <v>343</v>
      </c>
      <c r="J81" s="2" t="s">
        <v>244</v>
      </c>
      <c r="K81" s="2" t="s">
        <v>100</v>
      </c>
      <c r="L81" s="3"/>
      <c r="M81" s="3"/>
      <c r="N81" s="3"/>
    </row>
    <row r="82" customFormat="false" ht="39.55" hidden="false" customHeight="false" outlineLevel="0" collapsed="false">
      <c r="A82" s="2" t="s">
        <v>344</v>
      </c>
      <c r="B82" s="2" t="s">
        <v>232</v>
      </c>
      <c r="C82" s="2" t="s">
        <v>233</v>
      </c>
      <c r="D82" s="2" t="s">
        <v>234</v>
      </c>
      <c r="E82" s="2" t="s">
        <v>96</v>
      </c>
      <c r="F82" s="2" t="s">
        <v>345</v>
      </c>
      <c r="G82" s="2" t="s">
        <v>346</v>
      </c>
      <c r="H82" s="2"/>
      <c r="I82" s="2" t="s">
        <v>343</v>
      </c>
      <c r="J82" s="2" t="s">
        <v>244</v>
      </c>
      <c r="K82" s="2" t="s">
        <v>100</v>
      </c>
      <c r="L82" s="3"/>
      <c r="M82" s="3"/>
      <c r="N82" s="3"/>
    </row>
    <row r="83" customFormat="false" ht="26.85" hidden="false" customHeight="false" outlineLevel="0" collapsed="false">
      <c r="A83" s="2" t="s">
        <v>347</v>
      </c>
      <c r="B83" s="2" t="s">
        <v>232</v>
      </c>
      <c r="C83" s="2" t="s">
        <v>233</v>
      </c>
      <c r="D83" s="2" t="s">
        <v>234</v>
      </c>
      <c r="E83" s="2" t="s">
        <v>96</v>
      </c>
      <c r="F83" s="2" t="s">
        <v>345</v>
      </c>
      <c r="G83" s="2" t="s">
        <v>314</v>
      </c>
      <c r="H83" s="2"/>
      <c r="I83" s="2" t="s">
        <v>348</v>
      </c>
      <c r="J83" s="2" t="s">
        <v>349</v>
      </c>
      <c r="K83" s="2" t="s">
        <v>186</v>
      </c>
      <c r="L83" s="3"/>
      <c r="M83" s="3"/>
      <c r="N83" s="3"/>
    </row>
    <row r="84" customFormat="false" ht="39.55" hidden="false" customHeight="false" outlineLevel="0" collapsed="false">
      <c r="A84" s="2" t="s">
        <v>350</v>
      </c>
      <c r="B84" s="2" t="s">
        <v>232</v>
      </c>
      <c r="C84" s="2" t="s">
        <v>233</v>
      </c>
      <c r="D84" s="2" t="s">
        <v>234</v>
      </c>
      <c r="E84" s="2" t="s">
        <v>96</v>
      </c>
      <c r="F84" s="2" t="s">
        <v>351</v>
      </c>
      <c r="G84" s="2" t="s">
        <v>309</v>
      </c>
      <c r="H84" s="2"/>
      <c r="I84" s="2" t="s">
        <v>343</v>
      </c>
      <c r="J84" s="2" t="s">
        <v>244</v>
      </c>
      <c r="K84" s="2" t="s">
        <v>100</v>
      </c>
      <c r="L84" s="3"/>
      <c r="M84" s="3"/>
      <c r="N84" s="3"/>
    </row>
    <row r="85" customFormat="false" ht="39.55" hidden="false" customHeight="false" outlineLevel="0" collapsed="false">
      <c r="A85" s="2" t="s">
        <v>352</v>
      </c>
      <c r="B85" s="2" t="s">
        <v>232</v>
      </c>
      <c r="C85" s="2" t="s">
        <v>233</v>
      </c>
      <c r="D85" s="2" t="s">
        <v>234</v>
      </c>
      <c r="E85" s="2" t="s">
        <v>96</v>
      </c>
      <c r="F85" s="2" t="s">
        <v>353</v>
      </c>
      <c r="G85" s="2" t="s">
        <v>354</v>
      </c>
      <c r="H85" s="2"/>
      <c r="I85" s="2" t="s">
        <v>343</v>
      </c>
      <c r="J85" s="2" t="s">
        <v>244</v>
      </c>
      <c r="K85" s="2" t="s">
        <v>100</v>
      </c>
      <c r="L85" s="3"/>
      <c r="M85" s="3"/>
      <c r="N85" s="3"/>
    </row>
    <row r="86" customFormat="false" ht="39.55" hidden="false" customHeight="false" outlineLevel="0" collapsed="false">
      <c r="A86" s="2" t="s">
        <v>355</v>
      </c>
      <c r="B86" s="2" t="s">
        <v>232</v>
      </c>
      <c r="C86" s="2" t="s">
        <v>233</v>
      </c>
      <c r="D86" s="2" t="s">
        <v>234</v>
      </c>
      <c r="E86" s="2" t="s">
        <v>96</v>
      </c>
      <c r="F86" s="2" t="s">
        <v>356</v>
      </c>
      <c r="G86" s="2" t="s">
        <v>357</v>
      </c>
      <c r="H86" s="2" t="s">
        <v>358</v>
      </c>
      <c r="I86" s="2" t="s">
        <v>343</v>
      </c>
      <c r="J86" s="2" t="s">
        <v>244</v>
      </c>
      <c r="K86" s="2" t="s">
        <v>100</v>
      </c>
      <c r="L86" s="3"/>
      <c r="M86" s="3"/>
      <c r="N86" s="3"/>
    </row>
    <row r="87" customFormat="false" ht="39.55" hidden="false" customHeight="false" outlineLevel="0" collapsed="false">
      <c r="A87" s="2" t="s">
        <v>359</v>
      </c>
      <c r="B87" s="2" t="s">
        <v>232</v>
      </c>
      <c r="C87" s="2" t="s">
        <v>233</v>
      </c>
      <c r="D87" s="2" t="s">
        <v>234</v>
      </c>
      <c r="E87" s="2" t="s">
        <v>96</v>
      </c>
      <c r="F87" s="2" t="s">
        <v>360</v>
      </c>
      <c r="G87" s="2" t="s">
        <v>357</v>
      </c>
      <c r="H87" s="2"/>
      <c r="I87" s="2" t="s">
        <v>343</v>
      </c>
      <c r="J87" s="2" t="s">
        <v>244</v>
      </c>
      <c r="K87" s="2" t="s">
        <v>100</v>
      </c>
      <c r="L87" s="3"/>
      <c r="M87" s="3"/>
      <c r="N87" s="3"/>
    </row>
    <row r="88" customFormat="false" ht="39.55" hidden="false" customHeight="false" outlineLevel="0" collapsed="false">
      <c r="A88" s="2" t="s">
        <v>361</v>
      </c>
      <c r="B88" s="2" t="s">
        <v>232</v>
      </c>
      <c r="C88" s="2" t="s">
        <v>233</v>
      </c>
      <c r="D88" s="2" t="s">
        <v>234</v>
      </c>
      <c r="E88" s="2" t="s">
        <v>96</v>
      </c>
      <c r="F88" s="2" t="s">
        <v>362</v>
      </c>
      <c r="G88" s="2" t="s">
        <v>357</v>
      </c>
      <c r="H88" s="2"/>
      <c r="I88" s="2" t="s">
        <v>343</v>
      </c>
      <c r="J88" s="2" t="s">
        <v>244</v>
      </c>
      <c r="K88" s="2" t="s">
        <v>100</v>
      </c>
      <c r="L88" s="3"/>
      <c r="M88" s="3"/>
      <c r="N88" s="3"/>
    </row>
    <row r="89" customFormat="false" ht="39.55" hidden="false" customHeight="false" outlineLevel="0" collapsed="false">
      <c r="A89" s="2" t="s">
        <v>363</v>
      </c>
      <c r="B89" s="2" t="s">
        <v>232</v>
      </c>
      <c r="C89" s="2" t="s">
        <v>233</v>
      </c>
      <c r="D89" s="2" t="s">
        <v>234</v>
      </c>
      <c r="E89" s="2" t="s">
        <v>96</v>
      </c>
      <c r="F89" s="2" t="s">
        <v>364</v>
      </c>
      <c r="G89" s="2" t="s">
        <v>357</v>
      </c>
      <c r="H89" s="2"/>
      <c r="I89" s="2" t="s">
        <v>343</v>
      </c>
      <c r="J89" s="2" t="s">
        <v>244</v>
      </c>
      <c r="K89" s="2" t="s">
        <v>100</v>
      </c>
      <c r="L89" s="3"/>
      <c r="M89" s="3"/>
      <c r="N89" s="3"/>
    </row>
    <row r="90" customFormat="false" ht="26.85" hidden="false" customHeight="false" outlineLevel="0" collapsed="false">
      <c r="A90" s="2" t="s">
        <v>365</v>
      </c>
      <c r="B90" s="2" t="s">
        <v>232</v>
      </c>
      <c r="C90" s="2" t="s">
        <v>233</v>
      </c>
      <c r="D90" s="2" t="s">
        <v>234</v>
      </c>
      <c r="E90" s="2" t="s">
        <v>96</v>
      </c>
      <c r="F90" s="2" t="s">
        <v>366</v>
      </c>
      <c r="G90" s="2"/>
      <c r="H90" s="2" t="s">
        <v>367</v>
      </c>
      <c r="I90" s="2" t="s">
        <v>368</v>
      </c>
      <c r="J90" s="2" t="s">
        <v>244</v>
      </c>
      <c r="K90" s="2" t="s">
        <v>100</v>
      </c>
      <c r="L90" s="3"/>
      <c r="M90" s="3"/>
      <c r="N90" s="3"/>
    </row>
    <row r="91" customFormat="false" ht="26.85" hidden="false" customHeight="false" outlineLevel="0" collapsed="false">
      <c r="A91" s="2" t="s">
        <v>369</v>
      </c>
      <c r="B91" s="2" t="s">
        <v>232</v>
      </c>
      <c r="C91" s="2" t="s">
        <v>233</v>
      </c>
      <c r="D91" s="2" t="s">
        <v>234</v>
      </c>
      <c r="E91" s="2" t="s">
        <v>96</v>
      </c>
      <c r="F91" s="2" t="s">
        <v>370</v>
      </c>
      <c r="G91" s="2" t="s">
        <v>371</v>
      </c>
      <c r="H91" s="2" t="s">
        <v>372</v>
      </c>
      <c r="I91" s="2" t="s">
        <v>368</v>
      </c>
      <c r="J91" s="2" t="s">
        <v>244</v>
      </c>
      <c r="K91" s="2" t="s">
        <v>100</v>
      </c>
      <c r="L91" s="3"/>
      <c r="M91" s="3"/>
      <c r="N91" s="3"/>
    </row>
    <row r="92" customFormat="false" ht="26.85" hidden="false" customHeight="false" outlineLevel="0" collapsed="false">
      <c r="A92" s="2" t="s">
        <v>373</v>
      </c>
      <c r="B92" s="2" t="s">
        <v>232</v>
      </c>
      <c r="C92" s="2" t="s">
        <v>233</v>
      </c>
      <c r="D92" s="2" t="s">
        <v>234</v>
      </c>
      <c r="E92" s="2" t="s">
        <v>96</v>
      </c>
      <c r="F92" s="2" t="s">
        <v>374</v>
      </c>
      <c r="G92" s="2"/>
      <c r="H92" s="2" t="s">
        <v>375</v>
      </c>
      <c r="I92" s="2" t="s">
        <v>376</v>
      </c>
      <c r="J92" s="2" t="s">
        <v>244</v>
      </c>
      <c r="K92" s="2" t="s">
        <v>100</v>
      </c>
      <c r="L92" s="3"/>
      <c r="M92" s="3"/>
      <c r="N92" s="3"/>
    </row>
    <row r="93" customFormat="false" ht="26.85" hidden="false" customHeight="false" outlineLevel="0" collapsed="false">
      <c r="A93" s="2" t="s">
        <v>377</v>
      </c>
      <c r="B93" s="2" t="s">
        <v>232</v>
      </c>
      <c r="C93" s="2" t="s">
        <v>233</v>
      </c>
      <c r="D93" s="2" t="s">
        <v>234</v>
      </c>
      <c r="E93" s="2" t="s">
        <v>96</v>
      </c>
      <c r="F93" s="2" t="s">
        <v>378</v>
      </c>
      <c r="G93" s="2"/>
      <c r="H93" s="2" t="s">
        <v>379</v>
      </c>
      <c r="I93" s="2" t="s">
        <v>376</v>
      </c>
      <c r="J93" s="2" t="s">
        <v>244</v>
      </c>
      <c r="K93" s="2" t="s">
        <v>100</v>
      </c>
      <c r="L93" s="3"/>
      <c r="M93" s="3"/>
      <c r="N93" s="3"/>
    </row>
    <row r="94" customFormat="false" ht="39.55" hidden="false" customHeight="false" outlineLevel="0" collapsed="false">
      <c r="A94" s="2" t="s">
        <v>380</v>
      </c>
      <c r="B94" s="2" t="s">
        <v>232</v>
      </c>
      <c r="C94" s="2" t="s">
        <v>233</v>
      </c>
      <c r="D94" s="2" t="s">
        <v>234</v>
      </c>
      <c r="E94" s="2" t="s">
        <v>96</v>
      </c>
      <c r="F94" s="2" t="s">
        <v>381</v>
      </c>
      <c r="G94" s="2" t="s">
        <v>382</v>
      </c>
      <c r="H94" s="2" t="s">
        <v>383</v>
      </c>
      <c r="I94" s="2" t="s">
        <v>384</v>
      </c>
      <c r="J94" s="2" t="s">
        <v>244</v>
      </c>
      <c r="K94" s="2" t="s">
        <v>100</v>
      </c>
      <c r="L94" s="3"/>
      <c r="M94" s="3"/>
      <c r="N94" s="3"/>
    </row>
    <row r="95" customFormat="false" ht="39.55" hidden="false" customHeight="false" outlineLevel="0" collapsed="false">
      <c r="A95" s="2" t="s">
        <v>385</v>
      </c>
      <c r="B95" s="2" t="s">
        <v>232</v>
      </c>
      <c r="C95" s="2" t="s">
        <v>233</v>
      </c>
      <c r="D95" s="2" t="s">
        <v>234</v>
      </c>
      <c r="E95" s="2" t="s">
        <v>96</v>
      </c>
      <c r="F95" s="2" t="s">
        <v>386</v>
      </c>
      <c r="G95" s="2" t="s">
        <v>387</v>
      </c>
      <c r="H95" s="2" t="s">
        <v>388</v>
      </c>
      <c r="I95" s="2" t="s">
        <v>384</v>
      </c>
      <c r="J95" s="2" t="s">
        <v>244</v>
      </c>
      <c r="K95" s="2" t="s">
        <v>100</v>
      </c>
      <c r="L95" s="3"/>
      <c r="M95" s="3"/>
      <c r="N95" s="3"/>
    </row>
    <row r="96" customFormat="false" ht="39.55" hidden="false" customHeight="false" outlineLevel="0" collapsed="false">
      <c r="A96" s="2" t="s">
        <v>389</v>
      </c>
      <c r="B96" s="2" t="s">
        <v>232</v>
      </c>
      <c r="C96" s="2" t="s">
        <v>233</v>
      </c>
      <c r="D96" s="2" t="s">
        <v>234</v>
      </c>
      <c r="E96" s="2" t="s">
        <v>96</v>
      </c>
      <c r="F96" s="2" t="s">
        <v>390</v>
      </c>
      <c r="G96" s="2" t="s">
        <v>391</v>
      </c>
      <c r="H96" s="2" t="s">
        <v>392</v>
      </c>
      <c r="I96" s="2" t="s">
        <v>384</v>
      </c>
      <c r="J96" s="2" t="s">
        <v>244</v>
      </c>
      <c r="K96" s="2" t="s">
        <v>100</v>
      </c>
      <c r="L96" s="3"/>
      <c r="M96" s="3"/>
      <c r="N96" s="3"/>
    </row>
    <row r="97" customFormat="false" ht="39.55" hidden="false" customHeight="false" outlineLevel="0" collapsed="false">
      <c r="A97" s="2" t="s">
        <v>393</v>
      </c>
      <c r="B97" s="2" t="s">
        <v>232</v>
      </c>
      <c r="C97" s="2" t="s">
        <v>233</v>
      </c>
      <c r="D97" s="2" t="s">
        <v>234</v>
      </c>
      <c r="E97" s="2" t="s">
        <v>96</v>
      </c>
      <c r="F97" s="2" t="s">
        <v>394</v>
      </c>
      <c r="G97" s="2" t="s">
        <v>395</v>
      </c>
      <c r="H97" s="2" t="s">
        <v>396</v>
      </c>
      <c r="I97" s="2" t="s">
        <v>384</v>
      </c>
      <c r="J97" s="2" t="s">
        <v>244</v>
      </c>
      <c r="K97" s="2" t="s">
        <v>100</v>
      </c>
      <c r="L97" s="3"/>
      <c r="M97" s="3"/>
      <c r="N97" s="3"/>
    </row>
    <row r="98" customFormat="false" ht="39.55" hidden="false" customHeight="false" outlineLevel="0" collapsed="false">
      <c r="A98" s="2" t="s">
        <v>397</v>
      </c>
      <c r="B98" s="2" t="s">
        <v>232</v>
      </c>
      <c r="C98" s="2" t="s">
        <v>233</v>
      </c>
      <c r="D98" s="2" t="s">
        <v>234</v>
      </c>
      <c r="E98" s="2" t="s">
        <v>96</v>
      </c>
      <c r="F98" s="2" t="s">
        <v>398</v>
      </c>
      <c r="G98" s="2"/>
      <c r="H98" s="2"/>
      <c r="I98" s="2" t="s">
        <v>384</v>
      </c>
      <c r="J98" s="2" t="s">
        <v>244</v>
      </c>
      <c r="K98" s="2" t="s">
        <v>100</v>
      </c>
      <c r="L98" s="3"/>
      <c r="M98" s="3"/>
      <c r="N98" s="3"/>
    </row>
    <row r="99" customFormat="false" ht="39.55" hidden="false" customHeight="false" outlineLevel="0" collapsed="false">
      <c r="A99" s="2" t="s">
        <v>399</v>
      </c>
      <c r="B99" s="2" t="s">
        <v>232</v>
      </c>
      <c r="C99" s="2" t="s">
        <v>233</v>
      </c>
      <c r="D99" s="2" t="s">
        <v>234</v>
      </c>
      <c r="E99" s="2" t="s">
        <v>96</v>
      </c>
      <c r="F99" s="2" t="s">
        <v>400</v>
      </c>
      <c r="G99" s="2"/>
      <c r="H99" s="2" t="s">
        <v>401</v>
      </c>
      <c r="I99" s="2" t="s">
        <v>384</v>
      </c>
      <c r="J99" s="2" t="s">
        <v>244</v>
      </c>
      <c r="K99" s="2" t="s">
        <v>100</v>
      </c>
      <c r="L99" s="3"/>
      <c r="M99" s="3"/>
      <c r="N99" s="3"/>
    </row>
    <row r="100" customFormat="false" ht="39.55" hidden="false" customHeight="false" outlineLevel="0" collapsed="false">
      <c r="A100" s="2" t="s">
        <v>402</v>
      </c>
      <c r="B100" s="2" t="s">
        <v>232</v>
      </c>
      <c r="C100" s="2" t="s">
        <v>233</v>
      </c>
      <c r="D100" s="2" t="s">
        <v>234</v>
      </c>
      <c r="E100" s="2" t="s">
        <v>96</v>
      </c>
      <c r="F100" s="2" t="s">
        <v>403</v>
      </c>
      <c r="G100" s="2" t="s">
        <v>404</v>
      </c>
      <c r="H100" s="2" t="s">
        <v>405</v>
      </c>
      <c r="I100" s="2" t="s">
        <v>406</v>
      </c>
      <c r="J100" s="2" t="s">
        <v>407</v>
      </c>
      <c r="K100" s="2" t="s">
        <v>100</v>
      </c>
      <c r="L100" s="3"/>
      <c r="M100" s="3"/>
      <c r="N100" s="3"/>
    </row>
    <row r="101" customFormat="false" ht="39.55" hidden="false" customHeight="false" outlineLevel="0" collapsed="false">
      <c r="A101" s="2" t="s">
        <v>408</v>
      </c>
      <c r="B101" s="2" t="s">
        <v>232</v>
      </c>
      <c r="C101" s="2" t="s">
        <v>233</v>
      </c>
      <c r="D101" s="2" t="s">
        <v>234</v>
      </c>
      <c r="E101" s="2" t="s">
        <v>96</v>
      </c>
      <c r="F101" s="2" t="s">
        <v>409</v>
      </c>
      <c r="G101" s="2" t="s">
        <v>410</v>
      </c>
      <c r="H101" s="2"/>
      <c r="I101" s="2" t="s">
        <v>406</v>
      </c>
      <c r="J101" s="2" t="s">
        <v>407</v>
      </c>
      <c r="K101" s="2" t="s">
        <v>100</v>
      </c>
      <c r="L101" s="3"/>
      <c r="M101" s="3"/>
      <c r="N101" s="3"/>
    </row>
    <row r="102" customFormat="false" ht="39.55" hidden="false" customHeight="false" outlineLevel="0" collapsed="false">
      <c r="A102" s="2" t="s">
        <v>411</v>
      </c>
      <c r="B102" s="2" t="s">
        <v>232</v>
      </c>
      <c r="C102" s="2" t="s">
        <v>233</v>
      </c>
      <c r="D102" s="2" t="s">
        <v>234</v>
      </c>
      <c r="E102" s="2" t="s">
        <v>96</v>
      </c>
      <c r="F102" s="2" t="s">
        <v>412</v>
      </c>
      <c r="G102" s="2" t="s">
        <v>413</v>
      </c>
      <c r="H102" s="2" t="s">
        <v>414</v>
      </c>
      <c r="I102" s="2" t="s">
        <v>415</v>
      </c>
      <c r="J102" s="2" t="s">
        <v>407</v>
      </c>
      <c r="K102" s="2" t="s">
        <v>100</v>
      </c>
      <c r="L102" s="3"/>
      <c r="M102" s="3"/>
      <c r="N102" s="3"/>
    </row>
    <row r="103" customFormat="false" ht="26.85" hidden="false" customHeight="false" outlineLevel="0" collapsed="false">
      <c r="A103" s="2" t="s">
        <v>416</v>
      </c>
      <c r="B103" s="2" t="s">
        <v>232</v>
      </c>
      <c r="C103" s="2" t="s">
        <v>233</v>
      </c>
      <c r="D103" s="2" t="s">
        <v>234</v>
      </c>
      <c r="E103" s="2" t="s">
        <v>96</v>
      </c>
      <c r="F103" s="2" t="s">
        <v>417</v>
      </c>
      <c r="G103" s="2" t="s">
        <v>418</v>
      </c>
      <c r="H103" s="2" t="s">
        <v>419</v>
      </c>
      <c r="I103" s="2" t="s">
        <v>420</v>
      </c>
      <c r="J103" s="2" t="s">
        <v>291</v>
      </c>
      <c r="K103" s="2" t="s">
        <v>100</v>
      </c>
      <c r="L103" s="3"/>
      <c r="M103" s="3"/>
      <c r="N103" s="3"/>
    </row>
    <row r="104" customFormat="false" ht="39.55" hidden="false" customHeight="false" outlineLevel="0" collapsed="false">
      <c r="A104" s="2" t="s">
        <v>421</v>
      </c>
      <c r="B104" s="2" t="s">
        <v>232</v>
      </c>
      <c r="C104" s="2" t="s">
        <v>233</v>
      </c>
      <c r="D104" s="2" t="s">
        <v>234</v>
      </c>
      <c r="E104" s="2" t="s">
        <v>96</v>
      </c>
      <c r="F104" s="2" t="s">
        <v>422</v>
      </c>
      <c r="G104" s="2" t="s">
        <v>423</v>
      </c>
      <c r="H104" s="2" t="s">
        <v>424</v>
      </c>
      <c r="I104" s="2" t="s">
        <v>425</v>
      </c>
      <c r="J104" s="2" t="s">
        <v>426</v>
      </c>
      <c r="K104" s="2" t="s">
        <v>100</v>
      </c>
      <c r="L104" s="3"/>
      <c r="M104" s="3"/>
      <c r="N104" s="3"/>
    </row>
    <row r="105" customFormat="false" ht="39.55" hidden="false" customHeight="false" outlineLevel="0" collapsed="false">
      <c r="A105" s="2" t="s">
        <v>427</v>
      </c>
      <c r="B105" s="2" t="s">
        <v>232</v>
      </c>
      <c r="C105" s="2" t="s">
        <v>233</v>
      </c>
      <c r="D105" s="2" t="s">
        <v>234</v>
      </c>
      <c r="E105" s="2" t="s">
        <v>96</v>
      </c>
      <c r="F105" s="2" t="s">
        <v>428</v>
      </c>
      <c r="G105" s="2" t="s">
        <v>429</v>
      </c>
      <c r="H105" s="2"/>
      <c r="I105" s="2" t="s">
        <v>425</v>
      </c>
      <c r="J105" s="2" t="s">
        <v>426</v>
      </c>
      <c r="K105" s="2" t="s">
        <v>100</v>
      </c>
      <c r="L105" s="3"/>
      <c r="M105" s="3"/>
      <c r="N105" s="3"/>
    </row>
    <row r="106" customFormat="false" ht="52.2" hidden="false" customHeight="false" outlineLevel="0" collapsed="false">
      <c r="A106" s="2" t="s">
        <v>430</v>
      </c>
      <c r="B106" s="2" t="s">
        <v>232</v>
      </c>
      <c r="C106" s="2" t="s">
        <v>233</v>
      </c>
      <c r="D106" s="2" t="s">
        <v>234</v>
      </c>
      <c r="E106" s="2" t="s">
        <v>96</v>
      </c>
      <c r="F106" s="2" t="s">
        <v>431</v>
      </c>
      <c r="G106" s="2" t="s">
        <v>432</v>
      </c>
      <c r="H106" s="2"/>
      <c r="I106" s="2" t="s">
        <v>433</v>
      </c>
      <c r="J106" s="2" t="s">
        <v>426</v>
      </c>
      <c r="K106" s="2" t="s">
        <v>100</v>
      </c>
      <c r="L106" s="3"/>
      <c r="M106" s="3"/>
      <c r="N106" s="3"/>
    </row>
    <row r="107" customFormat="false" ht="52.2" hidden="false" customHeight="false" outlineLevel="0" collapsed="false">
      <c r="A107" s="2" t="s">
        <v>434</v>
      </c>
      <c r="B107" s="2" t="s">
        <v>232</v>
      </c>
      <c r="C107" s="2" t="s">
        <v>233</v>
      </c>
      <c r="D107" s="2" t="s">
        <v>234</v>
      </c>
      <c r="E107" s="2" t="s">
        <v>96</v>
      </c>
      <c r="F107" s="2" t="s">
        <v>435</v>
      </c>
      <c r="G107" s="2" t="s">
        <v>436</v>
      </c>
      <c r="H107" s="2"/>
      <c r="I107" s="2" t="s">
        <v>433</v>
      </c>
      <c r="J107" s="2" t="s">
        <v>426</v>
      </c>
      <c r="K107" s="2" t="s">
        <v>100</v>
      </c>
      <c r="L107" s="3"/>
      <c r="M107" s="3"/>
      <c r="N107" s="3"/>
    </row>
    <row r="108" customFormat="false" ht="52.2" hidden="false" customHeight="false" outlineLevel="0" collapsed="false">
      <c r="A108" s="2" t="s">
        <v>437</v>
      </c>
      <c r="B108" s="2" t="s">
        <v>232</v>
      </c>
      <c r="C108" s="2" t="s">
        <v>233</v>
      </c>
      <c r="D108" s="2" t="s">
        <v>234</v>
      </c>
      <c r="E108" s="2" t="s">
        <v>96</v>
      </c>
      <c r="F108" s="2" t="s">
        <v>438</v>
      </c>
      <c r="G108" s="2" t="s">
        <v>436</v>
      </c>
      <c r="H108" s="2"/>
      <c r="I108" s="2" t="s">
        <v>433</v>
      </c>
      <c r="J108" s="2" t="s">
        <v>426</v>
      </c>
      <c r="K108" s="2" t="s">
        <v>100</v>
      </c>
      <c r="L108" s="3"/>
      <c r="M108" s="3"/>
      <c r="N108" s="3"/>
    </row>
    <row r="109" customFormat="false" ht="52.2" hidden="false" customHeight="false" outlineLevel="0" collapsed="false">
      <c r="A109" s="2" t="s">
        <v>439</v>
      </c>
      <c r="B109" s="2" t="s">
        <v>232</v>
      </c>
      <c r="C109" s="2" t="s">
        <v>233</v>
      </c>
      <c r="D109" s="2" t="s">
        <v>234</v>
      </c>
      <c r="E109" s="2" t="s">
        <v>96</v>
      </c>
      <c r="F109" s="2" t="s">
        <v>440</v>
      </c>
      <c r="G109" s="2" t="s">
        <v>436</v>
      </c>
      <c r="H109" s="2"/>
      <c r="I109" s="2" t="s">
        <v>433</v>
      </c>
      <c r="J109" s="2" t="s">
        <v>426</v>
      </c>
      <c r="K109" s="2" t="s">
        <v>100</v>
      </c>
      <c r="L109" s="3"/>
      <c r="M109" s="3"/>
      <c r="N109" s="3"/>
    </row>
    <row r="110" customFormat="false" ht="52.2" hidden="false" customHeight="false" outlineLevel="0" collapsed="false">
      <c r="A110" s="2" t="s">
        <v>441</v>
      </c>
      <c r="B110" s="2" t="s">
        <v>232</v>
      </c>
      <c r="C110" s="2" t="s">
        <v>233</v>
      </c>
      <c r="D110" s="2" t="s">
        <v>234</v>
      </c>
      <c r="E110" s="2" t="s">
        <v>96</v>
      </c>
      <c r="F110" s="2" t="s">
        <v>442</v>
      </c>
      <c r="G110" s="2" t="s">
        <v>436</v>
      </c>
      <c r="H110" s="2"/>
      <c r="I110" s="2" t="s">
        <v>433</v>
      </c>
      <c r="J110" s="2" t="s">
        <v>426</v>
      </c>
      <c r="K110" s="2" t="s">
        <v>100</v>
      </c>
      <c r="L110" s="3"/>
      <c r="M110" s="3"/>
      <c r="N110" s="3"/>
    </row>
    <row r="111" customFormat="false" ht="52.2" hidden="false" customHeight="false" outlineLevel="0" collapsed="false">
      <c r="A111" s="2" t="s">
        <v>443</v>
      </c>
      <c r="B111" s="2" t="s">
        <v>232</v>
      </c>
      <c r="C111" s="2" t="s">
        <v>233</v>
      </c>
      <c r="D111" s="2" t="s">
        <v>234</v>
      </c>
      <c r="E111" s="2" t="s">
        <v>96</v>
      </c>
      <c r="F111" s="2" t="s">
        <v>444</v>
      </c>
      <c r="G111" s="2" t="s">
        <v>436</v>
      </c>
      <c r="H111" s="2"/>
      <c r="I111" s="2" t="s">
        <v>433</v>
      </c>
      <c r="J111" s="2" t="s">
        <v>426</v>
      </c>
      <c r="K111" s="2" t="s">
        <v>100</v>
      </c>
      <c r="L111" s="3"/>
      <c r="M111" s="3"/>
      <c r="N111" s="3"/>
    </row>
    <row r="112" customFormat="false" ht="26.85" hidden="false" customHeight="false" outlineLevel="0" collapsed="false">
      <c r="A112" s="2" t="s">
        <v>445</v>
      </c>
      <c r="B112" s="2" t="s">
        <v>232</v>
      </c>
      <c r="C112" s="2" t="s">
        <v>233</v>
      </c>
      <c r="D112" s="2" t="s">
        <v>234</v>
      </c>
      <c r="E112" s="2" t="s">
        <v>96</v>
      </c>
      <c r="F112" s="2" t="s">
        <v>446</v>
      </c>
      <c r="G112" s="2" t="s">
        <v>447</v>
      </c>
      <c r="H112" s="2"/>
      <c r="I112" s="2" t="s">
        <v>448</v>
      </c>
      <c r="J112" s="2" t="s">
        <v>426</v>
      </c>
      <c r="K112" s="2" t="s">
        <v>100</v>
      </c>
      <c r="L112" s="3"/>
      <c r="M112" s="3"/>
      <c r="N112" s="3"/>
    </row>
    <row r="113" customFormat="false" ht="26.85" hidden="false" customHeight="false" outlineLevel="0" collapsed="false">
      <c r="A113" s="2" t="s">
        <v>449</v>
      </c>
      <c r="B113" s="2" t="s">
        <v>232</v>
      </c>
      <c r="C113" s="2" t="s">
        <v>233</v>
      </c>
      <c r="D113" s="2" t="s">
        <v>234</v>
      </c>
      <c r="E113" s="2" t="s">
        <v>96</v>
      </c>
      <c r="F113" s="2" t="s">
        <v>450</v>
      </c>
      <c r="G113" s="2" t="s">
        <v>447</v>
      </c>
      <c r="H113" s="2"/>
      <c r="I113" s="2" t="s">
        <v>448</v>
      </c>
      <c r="J113" s="2" t="s">
        <v>426</v>
      </c>
      <c r="K113" s="2" t="s">
        <v>100</v>
      </c>
      <c r="L113" s="3"/>
      <c r="M113" s="3"/>
      <c r="N113" s="3"/>
    </row>
    <row r="114" customFormat="false" ht="26.85" hidden="false" customHeight="false" outlineLevel="0" collapsed="false">
      <c r="A114" s="2" t="s">
        <v>451</v>
      </c>
      <c r="B114" s="2" t="s">
        <v>232</v>
      </c>
      <c r="C114" s="2" t="s">
        <v>233</v>
      </c>
      <c r="D114" s="2" t="s">
        <v>234</v>
      </c>
      <c r="E114" s="2" t="s">
        <v>96</v>
      </c>
      <c r="F114" s="2" t="s">
        <v>452</v>
      </c>
      <c r="G114" s="2" t="s">
        <v>453</v>
      </c>
      <c r="H114" s="2"/>
      <c r="I114" s="2" t="s">
        <v>448</v>
      </c>
      <c r="J114" s="2" t="s">
        <v>426</v>
      </c>
      <c r="K114" s="2" t="s">
        <v>100</v>
      </c>
      <c r="L114" s="3"/>
      <c r="M114" s="3"/>
      <c r="N114" s="3"/>
    </row>
    <row r="115" customFormat="false" ht="52.2" hidden="false" customHeight="false" outlineLevel="0" collapsed="false">
      <c r="A115" s="2" t="s">
        <v>454</v>
      </c>
      <c r="B115" s="2" t="s">
        <v>232</v>
      </c>
      <c r="C115" s="2" t="s">
        <v>233</v>
      </c>
      <c r="D115" s="2" t="s">
        <v>234</v>
      </c>
      <c r="E115" s="2" t="s">
        <v>455</v>
      </c>
      <c r="F115" s="2" t="s">
        <v>456</v>
      </c>
      <c r="G115" s="2" t="s">
        <v>457</v>
      </c>
      <c r="H115" s="2" t="s">
        <v>458</v>
      </c>
      <c r="I115" s="2" t="s">
        <v>459</v>
      </c>
      <c r="J115" s="2" t="s">
        <v>460</v>
      </c>
      <c r="K115" s="2" t="s">
        <v>100</v>
      </c>
      <c r="L115" s="3"/>
      <c r="M115" s="3"/>
      <c r="N115" s="3"/>
    </row>
    <row r="116" customFormat="false" ht="52.2" hidden="false" customHeight="false" outlineLevel="0" collapsed="false">
      <c r="A116" s="2" t="s">
        <v>461</v>
      </c>
      <c r="B116" s="2" t="s">
        <v>232</v>
      </c>
      <c r="C116" s="2" t="s">
        <v>233</v>
      </c>
      <c r="D116" s="2" t="s">
        <v>234</v>
      </c>
      <c r="E116" s="2" t="s">
        <v>455</v>
      </c>
      <c r="F116" s="2" t="s">
        <v>462</v>
      </c>
      <c r="G116" s="2" t="s">
        <v>463</v>
      </c>
      <c r="H116" s="2" t="s">
        <v>464</v>
      </c>
      <c r="I116" s="2" t="s">
        <v>459</v>
      </c>
      <c r="J116" s="2" t="s">
        <v>460</v>
      </c>
      <c r="K116" s="2" t="s">
        <v>100</v>
      </c>
      <c r="L116" s="3"/>
      <c r="M116" s="3"/>
      <c r="N116" s="3"/>
    </row>
    <row r="117" customFormat="false" ht="52.2" hidden="false" customHeight="false" outlineLevel="0" collapsed="false">
      <c r="A117" s="2" t="s">
        <v>465</v>
      </c>
      <c r="B117" s="2" t="s">
        <v>232</v>
      </c>
      <c r="C117" s="2" t="s">
        <v>233</v>
      </c>
      <c r="D117" s="2" t="s">
        <v>234</v>
      </c>
      <c r="E117" s="2" t="s">
        <v>455</v>
      </c>
      <c r="F117" s="2" t="s">
        <v>466</v>
      </c>
      <c r="G117" s="2" t="s">
        <v>467</v>
      </c>
      <c r="H117" s="2" t="s">
        <v>458</v>
      </c>
      <c r="I117" s="2" t="s">
        <v>459</v>
      </c>
      <c r="J117" s="2" t="s">
        <v>460</v>
      </c>
      <c r="K117" s="2" t="s">
        <v>100</v>
      </c>
      <c r="L117" s="3"/>
      <c r="M117" s="3"/>
      <c r="N117" s="3"/>
    </row>
    <row r="118" customFormat="false" ht="52.2" hidden="false" customHeight="false" outlineLevel="0" collapsed="false">
      <c r="A118" s="2" t="s">
        <v>468</v>
      </c>
      <c r="B118" s="2" t="s">
        <v>232</v>
      </c>
      <c r="C118" s="2" t="s">
        <v>233</v>
      </c>
      <c r="D118" s="2" t="s">
        <v>234</v>
      </c>
      <c r="E118" s="2" t="s">
        <v>200</v>
      </c>
      <c r="F118" s="2" t="s">
        <v>469</v>
      </c>
      <c r="G118" s="2" t="s">
        <v>470</v>
      </c>
      <c r="H118" s="2"/>
      <c r="I118" s="2" t="s">
        <v>471</v>
      </c>
      <c r="J118" s="2" t="s">
        <v>472</v>
      </c>
      <c r="K118" s="2" t="s">
        <v>100</v>
      </c>
      <c r="L118" s="3"/>
      <c r="M118" s="3"/>
      <c r="N118" s="3"/>
    </row>
    <row r="119" customFormat="false" ht="52.2" hidden="false" customHeight="false" outlineLevel="0" collapsed="false">
      <c r="A119" s="2" t="s">
        <v>473</v>
      </c>
      <c r="B119" s="2" t="s">
        <v>232</v>
      </c>
      <c r="C119" s="2" t="s">
        <v>233</v>
      </c>
      <c r="D119" s="2" t="s">
        <v>234</v>
      </c>
      <c r="E119" s="2" t="s">
        <v>200</v>
      </c>
      <c r="F119" s="2" t="s">
        <v>474</v>
      </c>
      <c r="G119" s="2" t="s">
        <v>475</v>
      </c>
      <c r="H119" s="2"/>
      <c r="I119" s="2" t="s">
        <v>476</v>
      </c>
      <c r="J119" s="2" t="s">
        <v>472</v>
      </c>
      <c r="K119" s="2" t="s">
        <v>100</v>
      </c>
      <c r="L119" s="3"/>
      <c r="M119" s="3"/>
      <c r="N119" s="3"/>
    </row>
    <row r="120" customFormat="false" ht="26.85" hidden="false" customHeight="false" outlineLevel="0" collapsed="false">
      <c r="A120" s="2" t="s">
        <v>477</v>
      </c>
      <c r="B120" s="2" t="s">
        <v>232</v>
      </c>
      <c r="C120" s="2" t="s">
        <v>233</v>
      </c>
      <c r="D120" s="2" t="s">
        <v>234</v>
      </c>
      <c r="E120" s="2" t="s">
        <v>200</v>
      </c>
      <c r="F120" s="2" t="s">
        <v>478</v>
      </c>
      <c r="G120" s="2" t="s">
        <v>479</v>
      </c>
      <c r="H120" s="2"/>
      <c r="I120" s="2" t="s">
        <v>480</v>
      </c>
      <c r="J120" s="2" t="s">
        <v>407</v>
      </c>
      <c r="K120" s="2" t="s">
        <v>100</v>
      </c>
      <c r="L120" s="3"/>
      <c r="M120" s="3"/>
      <c r="N120" s="3"/>
    </row>
    <row r="121" customFormat="false" ht="52.2" hidden="false" customHeight="false" outlineLevel="0" collapsed="false">
      <c r="A121" s="2" t="s">
        <v>481</v>
      </c>
      <c r="B121" s="2" t="s">
        <v>232</v>
      </c>
      <c r="C121" s="2" t="s">
        <v>233</v>
      </c>
      <c r="D121" s="2" t="s">
        <v>234</v>
      </c>
      <c r="E121" s="2" t="s">
        <v>210</v>
      </c>
      <c r="F121" s="2" t="s">
        <v>482</v>
      </c>
      <c r="G121" s="2" t="s">
        <v>483</v>
      </c>
      <c r="H121" s="2" t="s">
        <v>484</v>
      </c>
      <c r="I121" s="2" t="s">
        <v>285</v>
      </c>
      <c r="J121" s="2" t="s">
        <v>286</v>
      </c>
      <c r="K121" s="2" t="s">
        <v>100</v>
      </c>
      <c r="L121" s="3"/>
      <c r="M121" s="3"/>
      <c r="N121" s="3"/>
    </row>
    <row r="122" customFormat="false" ht="39.55" hidden="false" customHeight="false" outlineLevel="0" collapsed="false">
      <c r="A122" s="2" t="s">
        <v>485</v>
      </c>
      <c r="B122" s="2" t="s">
        <v>232</v>
      </c>
      <c r="C122" s="2" t="s">
        <v>233</v>
      </c>
      <c r="D122" s="2" t="s">
        <v>234</v>
      </c>
      <c r="E122" s="2" t="s">
        <v>210</v>
      </c>
      <c r="F122" s="2" t="s">
        <v>486</v>
      </c>
      <c r="G122" s="2" t="s">
        <v>487</v>
      </c>
      <c r="H122" s="2" t="s">
        <v>488</v>
      </c>
      <c r="I122" s="2" t="s">
        <v>489</v>
      </c>
      <c r="J122" s="2" t="s">
        <v>490</v>
      </c>
      <c r="K122" s="2" t="s">
        <v>100</v>
      </c>
      <c r="L122" s="3"/>
      <c r="M122" s="3"/>
      <c r="N122" s="3"/>
    </row>
    <row r="123" customFormat="false" ht="52.2" hidden="false" customHeight="false" outlineLevel="0" collapsed="false">
      <c r="A123" s="2" t="s">
        <v>491</v>
      </c>
      <c r="B123" s="2" t="s">
        <v>232</v>
      </c>
      <c r="C123" s="2" t="s">
        <v>233</v>
      </c>
      <c r="D123" s="2" t="s">
        <v>234</v>
      </c>
      <c r="E123" s="2" t="s">
        <v>229</v>
      </c>
      <c r="F123" s="2" t="s">
        <v>229</v>
      </c>
      <c r="G123" s="2" t="s">
        <v>492</v>
      </c>
      <c r="H123" s="2"/>
      <c r="I123" s="2" t="s">
        <v>247</v>
      </c>
      <c r="J123" s="2" t="s">
        <v>240</v>
      </c>
      <c r="K123" s="2" t="s">
        <v>81</v>
      </c>
      <c r="L123" s="3"/>
      <c r="M123" s="3"/>
      <c r="N123" s="3"/>
    </row>
    <row r="124" customFormat="false" ht="26.85" hidden="false" customHeight="false" outlineLevel="0" collapsed="false">
      <c r="A124" s="2" t="s">
        <v>493</v>
      </c>
      <c r="B124" s="2" t="s">
        <v>494</v>
      </c>
      <c r="C124" s="2" t="s">
        <v>495</v>
      </c>
      <c r="D124" s="2" t="s">
        <v>496</v>
      </c>
      <c r="E124" s="2" t="s">
        <v>58</v>
      </c>
      <c r="F124" s="2" t="s">
        <v>59</v>
      </c>
      <c r="G124" s="2" t="s">
        <v>60</v>
      </c>
      <c r="H124" s="2"/>
      <c r="I124" s="2"/>
      <c r="J124" s="2"/>
      <c r="K124" s="2"/>
      <c r="L124" s="3"/>
      <c r="M124" s="3"/>
      <c r="N124" s="3"/>
    </row>
    <row r="125" customFormat="false" ht="26.85" hidden="false" customHeight="false" outlineLevel="0" collapsed="false">
      <c r="A125" s="2" t="s">
        <v>497</v>
      </c>
      <c r="B125" s="2" t="s">
        <v>494</v>
      </c>
      <c r="C125" s="2" t="s">
        <v>495</v>
      </c>
      <c r="D125" s="2" t="s">
        <v>496</v>
      </c>
      <c r="E125" s="2" t="s">
        <v>58</v>
      </c>
      <c r="F125" s="2" t="s">
        <v>62</v>
      </c>
      <c r="G125" s="2" t="s">
        <v>63</v>
      </c>
      <c r="H125" s="2"/>
      <c r="I125" s="2"/>
      <c r="J125" s="2"/>
      <c r="K125" s="2"/>
      <c r="L125" s="3"/>
      <c r="M125" s="3"/>
      <c r="N125" s="3"/>
    </row>
    <row r="126" customFormat="false" ht="26.85" hidden="false" customHeight="false" outlineLevel="0" collapsed="false">
      <c r="A126" s="2" t="s">
        <v>498</v>
      </c>
      <c r="B126" s="2" t="s">
        <v>494</v>
      </c>
      <c r="C126" s="2" t="s">
        <v>495</v>
      </c>
      <c r="D126" s="2" t="s">
        <v>496</v>
      </c>
      <c r="E126" s="2" t="s">
        <v>58</v>
      </c>
      <c r="F126" s="2" t="s">
        <v>68</v>
      </c>
      <c r="G126" s="2" t="s">
        <v>499</v>
      </c>
      <c r="H126" s="2"/>
      <c r="I126" s="2"/>
      <c r="J126" s="2"/>
      <c r="K126" s="2"/>
      <c r="L126" s="3"/>
      <c r="M126" s="3"/>
      <c r="N126" s="3"/>
    </row>
    <row r="127" customFormat="false" ht="64.9" hidden="false" customHeight="false" outlineLevel="0" collapsed="false">
      <c r="A127" s="2" t="s">
        <v>500</v>
      </c>
      <c r="B127" s="2" t="s">
        <v>494</v>
      </c>
      <c r="C127" s="2" t="s">
        <v>495</v>
      </c>
      <c r="D127" s="2" t="s">
        <v>496</v>
      </c>
      <c r="E127" s="2" t="s">
        <v>58</v>
      </c>
      <c r="F127" s="2" t="s">
        <v>77</v>
      </c>
      <c r="G127" s="2" t="s">
        <v>501</v>
      </c>
      <c r="H127" s="2"/>
      <c r="I127" s="2" t="s">
        <v>502</v>
      </c>
      <c r="J127" s="2" t="s">
        <v>503</v>
      </c>
      <c r="K127" s="2" t="s">
        <v>81</v>
      </c>
      <c r="L127" s="3"/>
      <c r="M127" s="3"/>
      <c r="N127" s="3"/>
    </row>
    <row r="128" customFormat="false" ht="64.9" hidden="false" customHeight="false" outlineLevel="0" collapsed="false">
      <c r="A128" s="2" t="s">
        <v>504</v>
      </c>
      <c r="B128" s="2" t="s">
        <v>494</v>
      </c>
      <c r="C128" s="2" t="s">
        <v>495</v>
      </c>
      <c r="D128" s="2" t="s">
        <v>496</v>
      </c>
      <c r="E128" s="2" t="s">
        <v>58</v>
      </c>
      <c r="F128" s="2" t="s">
        <v>87</v>
      </c>
      <c r="G128" s="2" t="s">
        <v>505</v>
      </c>
      <c r="H128" s="2"/>
      <c r="I128" s="2" t="s">
        <v>506</v>
      </c>
      <c r="J128" s="2" t="s">
        <v>507</v>
      </c>
      <c r="K128" s="2" t="s">
        <v>81</v>
      </c>
      <c r="L128" s="3"/>
      <c r="M128" s="3"/>
      <c r="N128" s="3"/>
    </row>
    <row r="129" customFormat="false" ht="26.85" hidden="false" customHeight="false" outlineLevel="0" collapsed="false">
      <c r="A129" s="2" t="s">
        <v>508</v>
      </c>
      <c r="B129" s="2" t="s">
        <v>494</v>
      </c>
      <c r="C129" s="2" t="s">
        <v>495</v>
      </c>
      <c r="D129" s="2" t="s">
        <v>496</v>
      </c>
      <c r="E129" s="2" t="s">
        <v>92</v>
      </c>
      <c r="F129" s="2" t="s">
        <v>249</v>
      </c>
      <c r="G129" s="2" t="s">
        <v>250</v>
      </c>
      <c r="H129" s="2"/>
      <c r="I129" s="2"/>
      <c r="J129" s="2"/>
      <c r="K129" s="2"/>
      <c r="L129" s="3"/>
      <c r="M129" s="3"/>
      <c r="N129" s="3"/>
    </row>
    <row r="130" customFormat="false" ht="115.65" hidden="false" customHeight="false" outlineLevel="0" collapsed="false">
      <c r="A130" s="2" t="s">
        <v>509</v>
      </c>
      <c r="B130" s="2" t="s">
        <v>494</v>
      </c>
      <c r="C130" s="2" t="s">
        <v>495</v>
      </c>
      <c r="D130" s="2" t="s">
        <v>496</v>
      </c>
      <c r="E130" s="2" t="s">
        <v>92</v>
      </c>
      <c r="F130" s="2" t="s">
        <v>93</v>
      </c>
      <c r="G130" s="2" t="s">
        <v>510</v>
      </c>
      <c r="H130" s="2"/>
      <c r="I130" s="2"/>
      <c r="J130" s="2"/>
      <c r="K130" s="2"/>
      <c r="L130" s="3"/>
      <c r="M130" s="3"/>
      <c r="N130" s="3"/>
    </row>
    <row r="131" customFormat="false" ht="64.9" hidden="false" customHeight="false" outlineLevel="0" collapsed="false">
      <c r="A131" s="2" t="s">
        <v>511</v>
      </c>
      <c r="B131" s="2" t="s">
        <v>494</v>
      </c>
      <c r="C131" s="2" t="s">
        <v>495</v>
      </c>
      <c r="D131" s="2" t="s">
        <v>496</v>
      </c>
      <c r="E131" s="2" t="s">
        <v>96</v>
      </c>
      <c r="F131" s="2" t="s">
        <v>512</v>
      </c>
      <c r="G131" s="2" t="s">
        <v>513</v>
      </c>
      <c r="H131" s="2" t="s">
        <v>514</v>
      </c>
      <c r="I131" s="2" t="s">
        <v>502</v>
      </c>
      <c r="J131" s="2" t="s">
        <v>503</v>
      </c>
      <c r="K131" s="2" t="s">
        <v>100</v>
      </c>
      <c r="L131" s="3"/>
      <c r="M131" s="3"/>
      <c r="N131" s="3"/>
    </row>
    <row r="132" customFormat="false" ht="64.9" hidden="false" customHeight="false" outlineLevel="0" collapsed="false">
      <c r="A132" s="2" t="s">
        <v>515</v>
      </c>
      <c r="B132" s="2" t="s">
        <v>494</v>
      </c>
      <c r="C132" s="2" t="s">
        <v>495</v>
      </c>
      <c r="D132" s="2" t="s">
        <v>496</v>
      </c>
      <c r="E132" s="2" t="s">
        <v>96</v>
      </c>
      <c r="F132" s="2" t="s">
        <v>516</v>
      </c>
      <c r="G132" s="2" t="s">
        <v>517</v>
      </c>
      <c r="H132" s="2" t="s">
        <v>518</v>
      </c>
      <c r="I132" s="2" t="s">
        <v>502</v>
      </c>
      <c r="J132" s="2" t="s">
        <v>503</v>
      </c>
      <c r="K132" s="2" t="s">
        <v>100</v>
      </c>
      <c r="L132" s="3"/>
      <c r="M132" s="3"/>
      <c r="N132" s="3"/>
    </row>
    <row r="133" customFormat="false" ht="52.2" hidden="false" customHeight="false" outlineLevel="0" collapsed="false">
      <c r="A133" s="2" t="s">
        <v>519</v>
      </c>
      <c r="B133" s="2" t="s">
        <v>494</v>
      </c>
      <c r="C133" s="2" t="s">
        <v>495</v>
      </c>
      <c r="D133" s="2" t="s">
        <v>496</v>
      </c>
      <c r="E133" s="2" t="s">
        <v>96</v>
      </c>
      <c r="F133" s="2" t="s">
        <v>520</v>
      </c>
      <c r="G133" s="2"/>
      <c r="H133" s="2" t="s">
        <v>521</v>
      </c>
      <c r="I133" s="2" t="s">
        <v>522</v>
      </c>
      <c r="J133" s="2" t="s">
        <v>80</v>
      </c>
      <c r="K133" s="2" t="s">
        <v>100</v>
      </c>
      <c r="L133" s="3"/>
      <c r="M133" s="3"/>
      <c r="N133" s="3"/>
    </row>
    <row r="134" customFormat="false" ht="64.9" hidden="false" customHeight="false" outlineLevel="0" collapsed="false">
      <c r="A134" s="2" t="s">
        <v>523</v>
      </c>
      <c r="B134" s="2" t="s">
        <v>494</v>
      </c>
      <c r="C134" s="2" t="s">
        <v>495</v>
      </c>
      <c r="D134" s="2" t="s">
        <v>496</v>
      </c>
      <c r="E134" s="2" t="s">
        <v>159</v>
      </c>
      <c r="F134" s="2" t="s">
        <v>524</v>
      </c>
      <c r="G134" s="2" t="s">
        <v>525</v>
      </c>
      <c r="H134" s="2" t="s">
        <v>526</v>
      </c>
      <c r="I134" s="2" t="s">
        <v>502</v>
      </c>
      <c r="J134" s="2" t="s">
        <v>503</v>
      </c>
      <c r="K134" s="2" t="s">
        <v>100</v>
      </c>
      <c r="L134" s="3"/>
      <c r="M134" s="3"/>
      <c r="N134" s="3"/>
    </row>
    <row r="135" customFormat="false" ht="39.55" hidden="false" customHeight="false" outlineLevel="0" collapsed="false">
      <c r="A135" s="2" t="s">
        <v>527</v>
      </c>
      <c r="B135" s="2" t="s">
        <v>494</v>
      </c>
      <c r="C135" s="2" t="s">
        <v>495</v>
      </c>
      <c r="D135" s="2" t="s">
        <v>496</v>
      </c>
      <c r="E135" s="2" t="s">
        <v>159</v>
      </c>
      <c r="F135" s="2" t="s">
        <v>528</v>
      </c>
      <c r="G135" s="2" t="s">
        <v>529</v>
      </c>
      <c r="H135" s="2" t="s">
        <v>530</v>
      </c>
      <c r="I135" s="2" t="s">
        <v>531</v>
      </c>
      <c r="J135" s="2" t="s">
        <v>532</v>
      </c>
      <c r="K135" s="2" t="s">
        <v>186</v>
      </c>
      <c r="L135" s="3"/>
      <c r="M135" s="3"/>
      <c r="N135" s="3"/>
    </row>
    <row r="136" customFormat="false" ht="52.2" hidden="false" customHeight="false" outlineLevel="0" collapsed="false">
      <c r="A136" s="2" t="s">
        <v>533</v>
      </c>
      <c r="B136" s="2" t="s">
        <v>494</v>
      </c>
      <c r="C136" s="2" t="s">
        <v>495</v>
      </c>
      <c r="D136" s="2" t="s">
        <v>496</v>
      </c>
      <c r="E136" s="2" t="s">
        <v>159</v>
      </c>
      <c r="F136" s="2" t="s">
        <v>528</v>
      </c>
      <c r="G136" s="2" t="s">
        <v>534</v>
      </c>
      <c r="H136" s="2" t="s">
        <v>530</v>
      </c>
      <c r="I136" s="2" t="s">
        <v>531</v>
      </c>
      <c r="J136" s="2" t="s">
        <v>535</v>
      </c>
      <c r="K136" s="2" t="s">
        <v>186</v>
      </c>
      <c r="L136" s="3"/>
      <c r="M136" s="3"/>
      <c r="N136" s="3"/>
    </row>
    <row r="137" customFormat="false" ht="39.55" hidden="false" customHeight="false" outlineLevel="0" collapsed="false">
      <c r="A137" s="2" t="s">
        <v>536</v>
      </c>
      <c r="B137" s="2" t="s">
        <v>494</v>
      </c>
      <c r="C137" s="2" t="s">
        <v>495</v>
      </c>
      <c r="D137" s="2" t="s">
        <v>496</v>
      </c>
      <c r="E137" s="2" t="s">
        <v>159</v>
      </c>
      <c r="F137" s="2" t="s">
        <v>537</v>
      </c>
      <c r="G137" s="2" t="s">
        <v>538</v>
      </c>
      <c r="H137" s="2" t="s">
        <v>539</v>
      </c>
      <c r="I137" s="2" t="s">
        <v>540</v>
      </c>
      <c r="J137" s="2" t="s">
        <v>541</v>
      </c>
      <c r="K137" s="2" t="s">
        <v>186</v>
      </c>
      <c r="L137" s="3"/>
      <c r="M137" s="3"/>
      <c r="N137" s="3"/>
    </row>
    <row r="138" customFormat="false" ht="39.55" hidden="false" customHeight="false" outlineLevel="0" collapsed="false">
      <c r="A138" s="2" t="s">
        <v>542</v>
      </c>
      <c r="B138" s="2" t="s">
        <v>494</v>
      </c>
      <c r="C138" s="2" t="s">
        <v>495</v>
      </c>
      <c r="D138" s="2" t="s">
        <v>496</v>
      </c>
      <c r="E138" s="2" t="s">
        <v>159</v>
      </c>
      <c r="F138" s="2" t="s">
        <v>537</v>
      </c>
      <c r="G138" s="2" t="s">
        <v>543</v>
      </c>
      <c r="H138" s="2" t="s">
        <v>539</v>
      </c>
      <c r="I138" s="2" t="s">
        <v>540</v>
      </c>
      <c r="J138" s="2" t="s">
        <v>544</v>
      </c>
      <c r="K138" s="2" t="s">
        <v>186</v>
      </c>
      <c r="L138" s="3"/>
      <c r="M138" s="3"/>
      <c r="N138" s="3"/>
    </row>
    <row r="139" customFormat="false" ht="39.55" hidden="false" customHeight="false" outlineLevel="0" collapsed="false">
      <c r="A139" s="2" t="s">
        <v>545</v>
      </c>
      <c r="B139" s="2" t="s">
        <v>494</v>
      </c>
      <c r="C139" s="2" t="s">
        <v>495</v>
      </c>
      <c r="D139" s="2" t="s">
        <v>496</v>
      </c>
      <c r="E139" s="2" t="s">
        <v>159</v>
      </c>
      <c r="F139" s="2" t="s">
        <v>546</v>
      </c>
      <c r="G139" s="2" t="s">
        <v>547</v>
      </c>
      <c r="H139" s="2" t="s">
        <v>548</v>
      </c>
      <c r="I139" s="2" t="s">
        <v>549</v>
      </c>
      <c r="J139" s="2" t="s">
        <v>550</v>
      </c>
      <c r="K139" s="2" t="s">
        <v>186</v>
      </c>
      <c r="L139" s="3"/>
      <c r="M139" s="3"/>
      <c r="N139" s="3"/>
    </row>
    <row r="140" customFormat="false" ht="39.55" hidden="false" customHeight="false" outlineLevel="0" collapsed="false">
      <c r="A140" s="2" t="s">
        <v>551</v>
      </c>
      <c r="B140" s="2" t="s">
        <v>494</v>
      </c>
      <c r="C140" s="2" t="s">
        <v>495</v>
      </c>
      <c r="D140" s="2" t="s">
        <v>496</v>
      </c>
      <c r="E140" s="2" t="s">
        <v>159</v>
      </c>
      <c r="F140" s="2" t="s">
        <v>546</v>
      </c>
      <c r="G140" s="2" t="s">
        <v>552</v>
      </c>
      <c r="H140" s="2" t="s">
        <v>548</v>
      </c>
      <c r="I140" s="2" t="s">
        <v>549</v>
      </c>
      <c r="J140" s="2" t="s">
        <v>553</v>
      </c>
      <c r="K140" s="2" t="s">
        <v>186</v>
      </c>
      <c r="L140" s="3"/>
      <c r="M140" s="3"/>
      <c r="N140" s="3"/>
    </row>
    <row r="141" customFormat="false" ht="39.55" hidden="false" customHeight="false" outlineLevel="0" collapsed="false">
      <c r="A141" s="2" t="s">
        <v>554</v>
      </c>
      <c r="B141" s="2" t="s">
        <v>494</v>
      </c>
      <c r="C141" s="2" t="s">
        <v>495</v>
      </c>
      <c r="D141" s="2" t="s">
        <v>496</v>
      </c>
      <c r="E141" s="2" t="s">
        <v>159</v>
      </c>
      <c r="F141" s="2" t="s">
        <v>555</v>
      </c>
      <c r="G141" s="2" t="s">
        <v>556</v>
      </c>
      <c r="H141" s="2" t="s">
        <v>557</v>
      </c>
      <c r="I141" s="2" t="s">
        <v>558</v>
      </c>
      <c r="J141" s="2" t="s">
        <v>316</v>
      </c>
      <c r="K141" s="2" t="s">
        <v>186</v>
      </c>
      <c r="L141" s="3"/>
      <c r="M141" s="3"/>
      <c r="N141" s="3"/>
    </row>
    <row r="142" customFormat="false" ht="39.55" hidden="false" customHeight="false" outlineLevel="0" collapsed="false">
      <c r="A142" s="2" t="s">
        <v>559</v>
      </c>
      <c r="B142" s="2" t="s">
        <v>494</v>
      </c>
      <c r="C142" s="2" t="s">
        <v>495</v>
      </c>
      <c r="D142" s="2" t="s">
        <v>496</v>
      </c>
      <c r="E142" s="2" t="s">
        <v>159</v>
      </c>
      <c r="F142" s="2" t="s">
        <v>555</v>
      </c>
      <c r="G142" s="2" t="s">
        <v>560</v>
      </c>
      <c r="H142" s="2" t="s">
        <v>557</v>
      </c>
      <c r="I142" s="2" t="s">
        <v>558</v>
      </c>
      <c r="J142" s="2" t="s">
        <v>561</v>
      </c>
      <c r="K142" s="2" t="s">
        <v>186</v>
      </c>
      <c r="L142" s="3"/>
      <c r="M142" s="3"/>
      <c r="N142" s="3"/>
    </row>
    <row r="143" customFormat="false" ht="39.55" hidden="false" customHeight="false" outlineLevel="0" collapsed="false">
      <c r="A143" s="2" t="s">
        <v>562</v>
      </c>
      <c r="B143" s="2" t="s">
        <v>494</v>
      </c>
      <c r="C143" s="2" t="s">
        <v>495</v>
      </c>
      <c r="D143" s="2" t="s">
        <v>496</v>
      </c>
      <c r="E143" s="2" t="s">
        <v>159</v>
      </c>
      <c r="F143" s="2" t="s">
        <v>563</v>
      </c>
      <c r="G143" s="2" t="s">
        <v>564</v>
      </c>
      <c r="H143" s="2" t="s">
        <v>565</v>
      </c>
      <c r="I143" s="2" t="s">
        <v>566</v>
      </c>
      <c r="J143" s="2" t="s">
        <v>567</v>
      </c>
      <c r="K143" s="2" t="s">
        <v>186</v>
      </c>
      <c r="L143" s="3"/>
      <c r="M143" s="3"/>
      <c r="N143" s="3"/>
    </row>
    <row r="144" customFormat="false" ht="39.55" hidden="false" customHeight="false" outlineLevel="0" collapsed="false">
      <c r="A144" s="2" t="s">
        <v>568</v>
      </c>
      <c r="B144" s="2" t="s">
        <v>494</v>
      </c>
      <c r="C144" s="2" t="s">
        <v>495</v>
      </c>
      <c r="D144" s="2" t="s">
        <v>496</v>
      </c>
      <c r="E144" s="2" t="s">
        <v>159</v>
      </c>
      <c r="F144" s="2" t="s">
        <v>563</v>
      </c>
      <c r="G144" s="2" t="s">
        <v>569</v>
      </c>
      <c r="H144" s="2" t="s">
        <v>565</v>
      </c>
      <c r="I144" s="2" t="s">
        <v>566</v>
      </c>
      <c r="J144" s="2" t="s">
        <v>570</v>
      </c>
      <c r="K144" s="2" t="s">
        <v>186</v>
      </c>
      <c r="L144" s="3"/>
      <c r="M144" s="3"/>
      <c r="N144" s="3"/>
    </row>
    <row r="145" customFormat="false" ht="39.55" hidden="false" customHeight="false" outlineLevel="0" collapsed="false">
      <c r="A145" s="2" t="s">
        <v>571</v>
      </c>
      <c r="B145" s="2" t="s">
        <v>494</v>
      </c>
      <c r="C145" s="2" t="s">
        <v>495</v>
      </c>
      <c r="D145" s="2" t="s">
        <v>496</v>
      </c>
      <c r="E145" s="2" t="s">
        <v>159</v>
      </c>
      <c r="F145" s="2" t="s">
        <v>572</v>
      </c>
      <c r="G145" s="2" t="s">
        <v>573</v>
      </c>
      <c r="H145" s="2" t="s">
        <v>574</v>
      </c>
      <c r="I145" s="2" t="s">
        <v>575</v>
      </c>
      <c r="J145" s="2" t="s">
        <v>576</v>
      </c>
      <c r="K145" s="2" t="s">
        <v>186</v>
      </c>
      <c r="L145" s="3"/>
      <c r="M145" s="3"/>
      <c r="N145" s="3"/>
    </row>
    <row r="146" customFormat="false" ht="39.55" hidden="false" customHeight="false" outlineLevel="0" collapsed="false">
      <c r="A146" s="2" t="s">
        <v>577</v>
      </c>
      <c r="B146" s="2" t="s">
        <v>494</v>
      </c>
      <c r="C146" s="2" t="s">
        <v>495</v>
      </c>
      <c r="D146" s="2" t="s">
        <v>496</v>
      </c>
      <c r="E146" s="2" t="s">
        <v>159</v>
      </c>
      <c r="F146" s="2" t="s">
        <v>572</v>
      </c>
      <c r="G146" s="2" t="s">
        <v>578</v>
      </c>
      <c r="H146" s="2" t="s">
        <v>574</v>
      </c>
      <c r="I146" s="2" t="s">
        <v>575</v>
      </c>
      <c r="J146" s="2" t="s">
        <v>579</v>
      </c>
      <c r="K146" s="2" t="s">
        <v>186</v>
      </c>
      <c r="L146" s="3"/>
      <c r="M146" s="3"/>
      <c r="N146" s="3"/>
    </row>
    <row r="147" customFormat="false" ht="39.55" hidden="false" customHeight="false" outlineLevel="0" collapsed="false">
      <c r="A147" s="2" t="s">
        <v>580</v>
      </c>
      <c r="B147" s="2" t="s">
        <v>494</v>
      </c>
      <c r="C147" s="2" t="s">
        <v>495</v>
      </c>
      <c r="D147" s="2" t="s">
        <v>496</v>
      </c>
      <c r="E147" s="2" t="s">
        <v>159</v>
      </c>
      <c r="F147" s="2" t="s">
        <v>581</v>
      </c>
      <c r="G147" s="2" t="s">
        <v>582</v>
      </c>
      <c r="H147" s="2" t="s">
        <v>583</v>
      </c>
      <c r="I147" s="2" t="s">
        <v>584</v>
      </c>
      <c r="J147" s="2" t="s">
        <v>585</v>
      </c>
      <c r="K147" s="2" t="s">
        <v>186</v>
      </c>
      <c r="L147" s="3"/>
      <c r="M147" s="3"/>
      <c r="N147" s="3"/>
    </row>
    <row r="148" customFormat="false" ht="52.2" hidden="false" customHeight="false" outlineLevel="0" collapsed="false">
      <c r="A148" s="2" t="s">
        <v>586</v>
      </c>
      <c r="B148" s="2" t="s">
        <v>494</v>
      </c>
      <c r="C148" s="2" t="s">
        <v>495</v>
      </c>
      <c r="D148" s="2" t="s">
        <v>496</v>
      </c>
      <c r="E148" s="2" t="s">
        <v>159</v>
      </c>
      <c r="F148" s="2" t="s">
        <v>581</v>
      </c>
      <c r="G148" s="2" t="s">
        <v>587</v>
      </c>
      <c r="H148" s="2" t="s">
        <v>583</v>
      </c>
      <c r="I148" s="2" t="s">
        <v>584</v>
      </c>
      <c r="J148" s="2" t="s">
        <v>588</v>
      </c>
      <c r="K148" s="2" t="s">
        <v>186</v>
      </c>
      <c r="L148" s="3"/>
      <c r="M148" s="3"/>
      <c r="N148" s="3"/>
    </row>
    <row r="149" customFormat="false" ht="39.55" hidden="false" customHeight="false" outlineLevel="0" collapsed="false">
      <c r="A149" s="2" t="s">
        <v>589</v>
      </c>
      <c r="B149" s="2" t="s">
        <v>494</v>
      </c>
      <c r="C149" s="2" t="s">
        <v>495</v>
      </c>
      <c r="D149" s="2" t="s">
        <v>496</v>
      </c>
      <c r="E149" s="2" t="s">
        <v>159</v>
      </c>
      <c r="F149" s="2" t="s">
        <v>590</v>
      </c>
      <c r="G149" s="2" t="s">
        <v>591</v>
      </c>
      <c r="H149" s="2" t="s">
        <v>592</v>
      </c>
      <c r="I149" s="2" t="s">
        <v>593</v>
      </c>
      <c r="J149" s="2" t="s">
        <v>594</v>
      </c>
      <c r="K149" s="2" t="s">
        <v>186</v>
      </c>
      <c r="L149" s="3"/>
      <c r="M149" s="3"/>
      <c r="N149" s="3"/>
    </row>
    <row r="150" customFormat="false" ht="52.2" hidden="false" customHeight="false" outlineLevel="0" collapsed="false">
      <c r="A150" s="2" t="s">
        <v>595</v>
      </c>
      <c r="B150" s="2" t="s">
        <v>494</v>
      </c>
      <c r="C150" s="2" t="s">
        <v>495</v>
      </c>
      <c r="D150" s="2" t="s">
        <v>496</v>
      </c>
      <c r="E150" s="2" t="s">
        <v>159</v>
      </c>
      <c r="F150" s="2" t="s">
        <v>590</v>
      </c>
      <c r="G150" s="2" t="s">
        <v>596</v>
      </c>
      <c r="H150" s="2" t="s">
        <v>592</v>
      </c>
      <c r="I150" s="2" t="s">
        <v>593</v>
      </c>
      <c r="J150" s="2" t="s">
        <v>597</v>
      </c>
      <c r="K150" s="2" t="s">
        <v>186</v>
      </c>
      <c r="L150" s="3"/>
      <c r="M150" s="3"/>
      <c r="N150" s="3"/>
    </row>
    <row r="151" customFormat="false" ht="39.55" hidden="false" customHeight="false" outlineLevel="0" collapsed="false">
      <c r="A151" s="2" t="s">
        <v>598</v>
      </c>
      <c r="B151" s="2" t="s">
        <v>494</v>
      </c>
      <c r="C151" s="2" t="s">
        <v>495</v>
      </c>
      <c r="D151" s="2" t="s">
        <v>496</v>
      </c>
      <c r="E151" s="2" t="s">
        <v>159</v>
      </c>
      <c r="F151" s="2" t="s">
        <v>599</v>
      </c>
      <c r="G151" s="2" t="s">
        <v>600</v>
      </c>
      <c r="H151" s="2" t="s">
        <v>601</v>
      </c>
      <c r="I151" s="2" t="s">
        <v>602</v>
      </c>
      <c r="J151" s="2" t="s">
        <v>603</v>
      </c>
      <c r="K151" s="2" t="s">
        <v>186</v>
      </c>
      <c r="L151" s="3"/>
      <c r="M151" s="3"/>
      <c r="N151" s="3"/>
    </row>
    <row r="152" customFormat="false" ht="52.2" hidden="false" customHeight="false" outlineLevel="0" collapsed="false">
      <c r="A152" s="2" t="s">
        <v>604</v>
      </c>
      <c r="B152" s="2" t="s">
        <v>494</v>
      </c>
      <c r="C152" s="2" t="s">
        <v>495</v>
      </c>
      <c r="D152" s="2" t="s">
        <v>496</v>
      </c>
      <c r="E152" s="2" t="s">
        <v>159</v>
      </c>
      <c r="F152" s="2" t="s">
        <v>599</v>
      </c>
      <c r="G152" s="2" t="s">
        <v>596</v>
      </c>
      <c r="H152" s="2" t="s">
        <v>601</v>
      </c>
      <c r="I152" s="2" t="s">
        <v>602</v>
      </c>
      <c r="J152" s="2" t="s">
        <v>605</v>
      </c>
      <c r="K152" s="2" t="s">
        <v>186</v>
      </c>
      <c r="L152" s="3"/>
      <c r="M152" s="3"/>
      <c r="N152" s="3"/>
    </row>
    <row r="153" customFormat="false" ht="39.55" hidden="false" customHeight="false" outlineLevel="0" collapsed="false">
      <c r="A153" s="2" t="s">
        <v>606</v>
      </c>
      <c r="B153" s="2" t="s">
        <v>494</v>
      </c>
      <c r="C153" s="2" t="s">
        <v>495</v>
      </c>
      <c r="D153" s="2" t="s">
        <v>496</v>
      </c>
      <c r="E153" s="2" t="s">
        <v>159</v>
      </c>
      <c r="F153" s="2" t="s">
        <v>607</v>
      </c>
      <c r="G153" s="2" t="s">
        <v>608</v>
      </c>
      <c r="H153" s="2" t="s">
        <v>609</v>
      </c>
      <c r="I153" s="2" t="s">
        <v>610</v>
      </c>
      <c r="J153" s="2" t="s">
        <v>336</v>
      </c>
      <c r="K153" s="2" t="s">
        <v>186</v>
      </c>
      <c r="L153" s="3"/>
      <c r="M153" s="3"/>
      <c r="N153" s="3"/>
    </row>
    <row r="154" customFormat="false" ht="52.2" hidden="false" customHeight="false" outlineLevel="0" collapsed="false">
      <c r="A154" s="2" t="s">
        <v>611</v>
      </c>
      <c r="B154" s="2" t="s">
        <v>494</v>
      </c>
      <c r="C154" s="2" t="s">
        <v>495</v>
      </c>
      <c r="D154" s="2" t="s">
        <v>496</v>
      </c>
      <c r="E154" s="2" t="s">
        <v>159</v>
      </c>
      <c r="F154" s="2" t="s">
        <v>607</v>
      </c>
      <c r="G154" s="2" t="s">
        <v>612</v>
      </c>
      <c r="H154" s="2" t="s">
        <v>609</v>
      </c>
      <c r="I154" s="2" t="s">
        <v>610</v>
      </c>
      <c r="J154" s="2" t="s">
        <v>613</v>
      </c>
      <c r="K154" s="2" t="s">
        <v>186</v>
      </c>
      <c r="L154" s="3"/>
      <c r="M154" s="3"/>
      <c r="N154" s="3"/>
    </row>
    <row r="155" customFormat="false" ht="39.55" hidden="false" customHeight="false" outlineLevel="0" collapsed="false">
      <c r="A155" s="2" t="s">
        <v>614</v>
      </c>
      <c r="B155" s="2" t="s">
        <v>494</v>
      </c>
      <c r="C155" s="2" t="s">
        <v>495</v>
      </c>
      <c r="D155" s="2" t="s">
        <v>496</v>
      </c>
      <c r="E155" s="2" t="s">
        <v>159</v>
      </c>
      <c r="F155" s="2" t="s">
        <v>615</v>
      </c>
      <c r="G155" s="2" t="s">
        <v>616</v>
      </c>
      <c r="H155" s="2" t="s">
        <v>617</v>
      </c>
      <c r="I155" s="2" t="s">
        <v>618</v>
      </c>
      <c r="J155" s="2" t="s">
        <v>619</v>
      </c>
      <c r="K155" s="2" t="s">
        <v>186</v>
      </c>
      <c r="L155" s="3"/>
      <c r="M155" s="3"/>
      <c r="N155" s="3"/>
    </row>
    <row r="156" customFormat="false" ht="39.55" hidden="false" customHeight="false" outlineLevel="0" collapsed="false">
      <c r="A156" s="2" t="s">
        <v>620</v>
      </c>
      <c r="B156" s="2" t="s">
        <v>494</v>
      </c>
      <c r="C156" s="2" t="s">
        <v>495</v>
      </c>
      <c r="D156" s="2" t="s">
        <v>496</v>
      </c>
      <c r="E156" s="2" t="s">
        <v>159</v>
      </c>
      <c r="F156" s="2" t="s">
        <v>615</v>
      </c>
      <c r="G156" s="2" t="s">
        <v>621</v>
      </c>
      <c r="H156" s="2" t="s">
        <v>617</v>
      </c>
      <c r="I156" s="2" t="s">
        <v>618</v>
      </c>
      <c r="J156" s="2" t="s">
        <v>622</v>
      </c>
      <c r="K156" s="2" t="s">
        <v>186</v>
      </c>
      <c r="L156" s="3"/>
      <c r="M156" s="3"/>
      <c r="N156" s="3"/>
    </row>
    <row r="157" customFormat="false" ht="39.55" hidden="false" customHeight="false" outlineLevel="0" collapsed="false">
      <c r="A157" s="2" t="s">
        <v>623</v>
      </c>
      <c r="B157" s="2" t="s">
        <v>494</v>
      </c>
      <c r="C157" s="2" t="s">
        <v>495</v>
      </c>
      <c r="D157" s="2" t="s">
        <v>496</v>
      </c>
      <c r="E157" s="2" t="s">
        <v>159</v>
      </c>
      <c r="F157" s="2" t="s">
        <v>624</v>
      </c>
      <c r="G157" s="2" t="s">
        <v>625</v>
      </c>
      <c r="H157" s="2" t="s">
        <v>626</v>
      </c>
      <c r="I157" s="2" t="s">
        <v>627</v>
      </c>
      <c r="J157" s="2" t="s">
        <v>628</v>
      </c>
      <c r="K157" s="2" t="s">
        <v>186</v>
      </c>
      <c r="L157" s="3"/>
      <c r="M157" s="3"/>
      <c r="N157" s="3"/>
    </row>
    <row r="158" customFormat="false" ht="52.2" hidden="false" customHeight="false" outlineLevel="0" collapsed="false">
      <c r="A158" s="2" t="s">
        <v>629</v>
      </c>
      <c r="B158" s="2" t="s">
        <v>494</v>
      </c>
      <c r="C158" s="2" t="s">
        <v>495</v>
      </c>
      <c r="D158" s="2" t="s">
        <v>496</v>
      </c>
      <c r="E158" s="2" t="s">
        <v>159</v>
      </c>
      <c r="F158" s="2" t="s">
        <v>624</v>
      </c>
      <c r="G158" s="2" t="s">
        <v>630</v>
      </c>
      <c r="H158" s="2" t="s">
        <v>626</v>
      </c>
      <c r="I158" s="2" t="s">
        <v>627</v>
      </c>
      <c r="J158" s="2" t="s">
        <v>631</v>
      </c>
      <c r="K158" s="2" t="s">
        <v>186</v>
      </c>
      <c r="L158" s="3"/>
      <c r="M158" s="3"/>
      <c r="N158" s="3"/>
    </row>
    <row r="159" customFormat="false" ht="39.55" hidden="false" customHeight="false" outlineLevel="0" collapsed="false">
      <c r="A159" s="2" t="s">
        <v>632</v>
      </c>
      <c r="B159" s="2" t="s">
        <v>494</v>
      </c>
      <c r="C159" s="2" t="s">
        <v>495</v>
      </c>
      <c r="D159" s="2" t="s">
        <v>496</v>
      </c>
      <c r="E159" s="2" t="s">
        <v>159</v>
      </c>
      <c r="F159" s="2" t="s">
        <v>633</v>
      </c>
      <c r="G159" s="2" t="s">
        <v>634</v>
      </c>
      <c r="H159" s="2" t="s">
        <v>635</v>
      </c>
      <c r="I159" s="2" t="s">
        <v>636</v>
      </c>
      <c r="J159" s="2" t="s">
        <v>637</v>
      </c>
      <c r="K159" s="2" t="s">
        <v>186</v>
      </c>
      <c r="L159" s="3"/>
      <c r="M159" s="3"/>
      <c r="N159" s="3"/>
    </row>
    <row r="160" customFormat="false" ht="52.2" hidden="false" customHeight="false" outlineLevel="0" collapsed="false">
      <c r="A160" s="2" t="s">
        <v>638</v>
      </c>
      <c r="B160" s="2" t="s">
        <v>494</v>
      </c>
      <c r="C160" s="2" t="s">
        <v>495</v>
      </c>
      <c r="D160" s="2" t="s">
        <v>496</v>
      </c>
      <c r="E160" s="2" t="s">
        <v>159</v>
      </c>
      <c r="F160" s="2" t="s">
        <v>633</v>
      </c>
      <c r="G160" s="2" t="s">
        <v>639</v>
      </c>
      <c r="H160" s="2" t="s">
        <v>635</v>
      </c>
      <c r="I160" s="2" t="s">
        <v>636</v>
      </c>
      <c r="J160" s="2" t="s">
        <v>640</v>
      </c>
      <c r="K160" s="2" t="s">
        <v>186</v>
      </c>
      <c r="L160" s="3"/>
      <c r="M160" s="3"/>
      <c r="N160" s="3"/>
    </row>
    <row r="161" customFormat="false" ht="39.55" hidden="false" customHeight="false" outlineLevel="0" collapsed="false">
      <c r="A161" s="2" t="s">
        <v>641</v>
      </c>
      <c r="B161" s="2" t="s">
        <v>494</v>
      </c>
      <c r="C161" s="2" t="s">
        <v>495</v>
      </c>
      <c r="D161" s="2" t="s">
        <v>496</v>
      </c>
      <c r="E161" s="2" t="s">
        <v>159</v>
      </c>
      <c r="F161" s="2" t="s">
        <v>642</v>
      </c>
      <c r="G161" s="2" t="s">
        <v>643</v>
      </c>
      <c r="H161" s="2" t="s">
        <v>644</v>
      </c>
      <c r="I161" s="2" t="s">
        <v>645</v>
      </c>
      <c r="J161" s="2" t="s">
        <v>349</v>
      </c>
      <c r="K161" s="2" t="s">
        <v>186</v>
      </c>
      <c r="L161" s="3"/>
      <c r="M161" s="3"/>
      <c r="N161" s="3"/>
    </row>
    <row r="162" customFormat="false" ht="52.2" hidden="false" customHeight="false" outlineLevel="0" collapsed="false">
      <c r="A162" s="2" t="s">
        <v>646</v>
      </c>
      <c r="B162" s="2" t="s">
        <v>494</v>
      </c>
      <c r="C162" s="2" t="s">
        <v>495</v>
      </c>
      <c r="D162" s="2" t="s">
        <v>496</v>
      </c>
      <c r="E162" s="2" t="s">
        <v>159</v>
      </c>
      <c r="F162" s="2" t="s">
        <v>642</v>
      </c>
      <c r="G162" s="2" t="s">
        <v>647</v>
      </c>
      <c r="H162" s="2" t="s">
        <v>644</v>
      </c>
      <c r="I162" s="2" t="s">
        <v>645</v>
      </c>
      <c r="J162" s="2" t="s">
        <v>648</v>
      </c>
      <c r="K162" s="2" t="s">
        <v>186</v>
      </c>
      <c r="L162" s="3"/>
      <c r="M162" s="3"/>
      <c r="N162" s="3"/>
    </row>
    <row r="163" customFormat="false" ht="64.9" hidden="false" customHeight="false" outlineLevel="0" collapsed="false">
      <c r="A163" s="2" t="s">
        <v>649</v>
      </c>
      <c r="B163" s="2" t="s">
        <v>494</v>
      </c>
      <c r="C163" s="2" t="s">
        <v>495</v>
      </c>
      <c r="D163" s="2" t="s">
        <v>496</v>
      </c>
      <c r="E163" s="2" t="s">
        <v>159</v>
      </c>
      <c r="F163" s="2" t="s">
        <v>650</v>
      </c>
      <c r="G163" s="2" t="s">
        <v>651</v>
      </c>
      <c r="H163" s="2" t="s">
        <v>652</v>
      </c>
      <c r="I163" s="2" t="s">
        <v>653</v>
      </c>
      <c r="J163" s="2" t="s">
        <v>654</v>
      </c>
      <c r="K163" s="2" t="s">
        <v>100</v>
      </c>
      <c r="L163" s="3"/>
      <c r="M163" s="3"/>
      <c r="N163" s="3"/>
    </row>
    <row r="164" customFormat="false" ht="39.55" hidden="false" customHeight="false" outlineLevel="0" collapsed="false">
      <c r="A164" s="2" t="s">
        <v>655</v>
      </c>
      <c r="B164" s="2" t="s">
        <v>494</v>
      </c>
      <c r="C164" s="2" t="s">
        <v>495</v>
      </c>
      <c r="D164" s="2" t="s">
        <v>496</v>
      </c>
      <c r="E164" s="2" t="s">
        <v>159</v>
      </c>
      <c r="F164" s="2" t="s">
        <v>656</v>
      </c>
      <c r="G164" s="2" t="s">
        <v>657</v>
      </c>
      <c r="H164" s="2" t="s">
        <v>658</v>
      </c>
      <c r="I164" s="2" t="s">
        <v>659</v>
      </c>
      <c r="J164" s="2" t="s">
        <v>654</v>
      </c>
      <c r="K164" s="2" t="s">
        <v>100</v>
      </c>
      <c r="L164" s="3"/>
      <c r="M164" s="3"/>
      <c r="N164" s="3"/>
    </row>
    <row r="165" customFormat="false" ht="64.9" hidden="false" customHeight="false" outlineLevel="0" collapsed="false">
      <c r="A165" s="2" t="s">
        <v>660</v>
      </c>
      <c r="B165" s="2" t="s">
        <v>494</v>
      </c>
      <c r="C165" s="2" t="s">
        <v>495</v>
      </c>
      <c r="D165" s="2" t="s">
        <v>496</v>
      </c>
      <c r="E165" s="2" t="s">
        <v>159</v>
      </c>
      <c r="F165" s="2" t="s">
        <v>661</v>
      </c>
      <c r="G165" s="2" t="s">
        <v>662</v>
      </c>
      <c r="H165" s="2" t="s">
        <v>658</v>
      </c>
      <c r="I165" s="2" t="s">
        <v>663</v>
      </c>
      <c r="J165" s="2" t="s">
        <v>654</v>
      </c>
      <c r="K165" s="2" t="s">
        <v>100</v>
      </c>
      <c r="L165" s="3"/>
      <c r="M165" s="3"/>
      <c r="N165" s="3"/>
    </row>
    <row r="166" customFormat="false" ht="52.2" hidden="false" customHeight="false" outlineLevel="0" collapsed="false">
      <c r="A166" s="2" t="s">
        <v>664</v>
      </c>
      <c r="B166" s="2" t="s">
        <v>494</v>
      </c>
      <c r="C166" s="2" t="s">
        <v>495</v>
      </c>
      <c r="D166" s="2" t="s">
        <v>496</v>
      </c>
      <c r="E166" s="2" t="s">
        <v>159</v>
      </c>
      <c r="F166" s="2" t="s">
        <v>665</v>
      </c>
      <c r="G166" s="2" t="s">
        <v>666</v>
      </c>
      <c r="H166" s="2" t="s">
        <v>667</v>
      </c>
      <c r="I166" s="2" t="s">
        <v>668</v>
      </c>
      <c r="J166" s="2" t="s">
        <v>669</v>
      </c>
      <c r="K166" s="2" t="s">
        <v>100</v>
      </c>
      <c r="L166" s="3"/>
      <c r="M166" s="3"/>
      <c r="N166" s="3"/>
    </row>
    <row r="167" customFormat="false" ht="52.2" hidden="false" customHeight="false" outlineLevel="0" collapsed="false">
      <c r="A167" s="2" t="s">
        <v>670</v>
      </c>
      <c r="B167" s="2" t="s">
        <v>494</v>
      </c>
      <c r="C167" s="2" t="s">
        <v>495</v>
      </c>
      <c r="D167" s="2" t="s">
        <v>496</v>
      </c>
      <c r="E167" s="2" t="s">
        <v>159</v>
      </c>
      <c r="F167" s="2" t="s">
        <v>671</v>
      </c>
      <c r="G167" s="2" t="s">
        <v>672</v>
      </c>
      <c r="H167" s="2" t="s">
        <v>673</v>
      </c>
      <c r="I167" s="2" t="s">
        <v>674</v>
      </c>
      <c r="J167" s="2" t="s">
        <v>675</v>
      </c>
      <c r="K167" s="2" t="s">
        <v>100</v>
      </c>
      <c r="L167" s="3"/>
      <c r="M167" s="3"/>
      <c r="N167" s="3"/>
    </row>
    <row r="168" customFormat="false" ht="52.2" hidden="false" customHeight="false" outlineLevel="0" collapsed="false">
      <c r="A168" s="2" t="s">
        <v>676</v>
      </c>
      <c r="B168" s="2" t="s">
        <v>494</v>
      </c>
      <c r="C168" s="2" t="s">
        <v>495</v>
      </c>
      <c r="D168" s="2" t="s">
        <v>496</v>
      </c>
      <c r="E168" s="2" t="s">
        <v>159</v>
      </c>
      <c r="F168" s="2" t="s">
        <v>677</v>
      </c>
      <c r="G168" s="2" t="s">
        <v>678</v>
      </c>
      <c r="H168" s="2" t="s">
        <v>679</v>
      </c>
      <c r="I168" s="2" t="s">
        <v>680</v>
      </c>
      <c r="J168" s="2" t="s">
        <v>681</v>
      </c>
      <c r="K168" s="2" t="s">
        <v>100</v>
      </c>
      <c r="L168" s="3"/>
      <c r="M168" s="3"/>
      <c r="N168" s="3"/>
    </row>
    <row r="169" customFormat="false" ht="39.55" hidden="false" customHeight="false" outlineLevel="0" collapsed="false">
      <c r="A169" s="2" t="s">
        <v>682</v>
      </c>
      <c r="B169" s="2" t="s">
        <v>494</v>
      </c>
      <c r="C169" s="2" t="s">
        <v>495</v>
      </c>
      <c r="D169" s="2" t="s">
        <v>496</v>
      </c>
      <c r="E169" s="2" t="s">
        <v>159</v>
      </c>
      <c r="F169" s="2" t="s">
        <v>683</v>
      </c>
      <c r="G169" s="2" t="s">
        <v>684</v>
      </c>
      <c r="H169" s="2" t="s">
        <v>652</v>
      </c>
      <c r="I169" s="2" t="s">
        <v>685</v>
      </c>
      <c r="J169" s="2" t="s">
        <v>654</v>
      </c>
      <c r="K169" s="2" t="s">
        <v>100</v>
      </c>
      <c r="L169" s="3"/>
      <c r="M169" s="3"/>
      <c r="N169" s="3"/>
    </row>
    <row r="170" customFormat="false" ht="39.55" hidden="false" customHeight="false" outlineLevel="0" collapsed="false">
      <c r="A170" s="2" t="s">
        <v>686</v>
      </c>
      <c r="B170" s="2" t="s">
        <v>494</v>
      </c>
      <c r="C170" s="2" t="s">
        <v>495</v>
      </c>
      <c r="D170" s="2" t="s">
        <v>496</v>
      </c>
      <c r="E170" s="2" t="s">
        <v>159</v>
      </c>
      <c r="F170" s="2" t="s">
        <v>687</v>
      </c>
      <c r="G170" s="2" t="s">
        <v>688</v>
      </c>
      <c r="H170" s="2" t="s">
        <v>689</v>
      </c>
      <c r="I170" s="2" t="s">
        <v>690</v>
      </c>
      <c r="J170" s="2" t="s">
        <v>691</v>
      </c>
      <c r="K170" s="2" t="s">
        <v>100</v>
      </c>
      <c r="L170" s="3"/>
      <c r="M170" s="3"/>
      <c r="N170" s="3"/>
    </row>
    <row r="171" customFormat="false" ht="52.2" hidden="false" customHeight="false" outlineLevel="0" collapsed="false">
      <c r="A171" s="2" t="s">
        <v>692</v>
      </c>
      <c r="B171" s="2" t="s">
        <v>494</v>
      </c>
      <c r="C171" s="2" t="s">
        <v>495</v>
      </c>
      <c r="D171" s="2" t="s">
        <v>496</v>
      </c>
      <c r="E171" s="2" t="s">
        <v>159</v>
      </c>
      <c r="F171" s="2" t="s">
        <v>693</v>
      </c>
      <c r="G171" s="2" t="s">
        <v>694</v>
      </c>
      <c r="H171" s="2" t="s">
        <v>695</v>
      </c>
      <c r="I171" s="2" t="s">
        <v>696</v>
      </c>
      <c r="J171" s="2" t="s">
        <v>697</v>
      </c>
      <c r="K171" s="2" t="s">
        <v>100</v>
      </c>
      <c r="L171" s="3"/>
      <c r="M171" s="3"/>
      <c r="N171" s="3"/>
    </row>
    <row r="172" customFormat="false" ht="52.2" hidden="false" customHeight="false" outlineLevel="0" collapsed="false">
      <c r="A172" s="2" t="s">
        <v>698</v>
      </c>
      <c r="B172" s="2" t="s">
        <v>494</v>
      </c>
      <c r="C172" s="2" t="s">
        <v>495</v>
      </c>
      <c r="D172" s="2" t="s">
        <v>496</v>
      </c>
      <c r="E172" s="2" t="s">
        <v>159</v>
      </c>
      <c r="F172" s="2" t="s">
        <v>699</v>
      </c>
      <c r="G172" s="2" t="s">
        <v>700</v>
      </c>
      <c r="H172" s="2" t="s">
        <v>701</v>
      </c>
      <c r="I172" s="2" t="s">
        <v>702</v>
      </c>
      <c r="J172" s="2" t="s">
        <v>681</v>
      </c>
      <c r="K172" s="2" t="s">
        <v>100</v>
      </c>
      <c r="L172" s="3"/>
      <c r="M172" s="3"/>
      <c r="N172" s="3"/>
    </row>
    <row r="173" customFormat="false" ht="77.6" hidden="false" customHeight="false" outlineLevel="0" collapsed="false">
      <c r="A173" s="2" t="s">
        <v>703</v>
      </c>
      <c r="B173" s="2" t="s">
        <v>494</v>
      </c>
      <c r="C173" s="2" t="s">
        <v>495</v>
      </c>
      <c r="D173" s="2" t="s">
        <v>496</v>
      </c>
      <c r="E173" s="2" t="s">
        <v>200</v>
      </c>
      <c r="F173" s="2" t="s">
        <v>704</v>
      </c>
      <c r="G173" s="2" t="s">
        <v>705</v>
      </c>
      <c r="H173" s="2"/>
      <c r="I173" s="2" t="s">
        <v>706</v>
      </c>
      <c r="J173" s="2" t="s">
        <v>503</v>
      </c>
      <c r="K173" s="2" t="s">
        <v>100</v>
      </c>
      <c r="L173" s="3"/>
      <c r="M173" s="3"/>
      <c r="N173" s="3"/>
    </row>
    <row r="174" customFormat="false" ht="64.9" hidden="false" customHeight="false" outlineLevel="0" collapsed="false">
      <c r="A174" s="2" t="s">
        <v>707</v>
      </c>
      <c r="B174" s="2" t="s">
        <v>494</v>
      </c>
      <c r="C174" s="2" t="s">
        <v>495</v>
      </c>
      <c r="D174" s="2" t="s">
        <v>496</v>
      </c>
      <c r="E174" s="2" t="s">
        <v>210</v>
      </c>
      <c r="F174" s="2" t="s">
        <v>708</v>
      </c>
      <c r="G174" s="2" t="s">
        <v>709</v>
      </c>
      <c r="H174" s="2" t="s">
        <v>710</v>
      </c>
      <c r="I174" s="2" t="s">
        <v>502</v>
      </c>
      <c r="J174" s="2" t="s">
        <v>503</v>
      </c>
      <c r="K174" s="2" t="s">
        <v>100</v>
      </c>
      <c r="L174" s="3"/>
      <c r="M174" s="3"/>
      <c r="N174" s="3"/>
    </row>
    <row r="175" customFormat="false" ht="77.6" hidden="false" customHeight="false" outlineLevel="0" collapsed="false">
      <c r="A175" s="2" t="s">
        <v>711</v>
      </c>
      <c r="B175" s="2" t="s">
        <v>494</v>
      </c>
      <c r="C175" s="2" t="s">
        <v>495</v>
      </c>
      <c r="D175" s="2" t="s">
        <v>496</v>
      </c>
      <c r="E175" s="2" t="s">
        <v>219</v>
      </c>
      <c r="F175" s="2" t="s">
        <v>712</v>
      </c>
      <c r="G175" s="2" t="s">
        <v>713</v>
      </c>
      <c r="H175" s="2"/>
      <c r="I175" s="2" t="s">
        <v>714</v>
      </c>
      <c r="J175" s="2" t="s">
        <v>503</v>
      </c>
      <c r="K175" s="2" t="s">
        <v>100</v>
      </c>
      <c r="L175" s="3"/>
      <c r="M175" s="3"/>
      <c r="N175" s="3"/>
    </row>
    <row r="176" customFormat="false" ht="64.9" hidden="false" customHeight="false" outlineLevel="0" collapsed="false">
      <c r="A176" s="2" t="s">
        <v>715</v>
      </c>
      <c r="B176" s="2" t="s">
        <v>494</v>
      </c>
      <c r="C176" s="2" t="s">
        <v>495</v>
      </c>
      <c r="D176" s="2" t="s">
        <v>496</v>
      </c>
      <c r="E176" s="2" t="s">
        <v>229</v>
      </c>
      <c r="F176" s="2" t="s">
        <v>229</v>
      </c>
      <c r="G176" s="2" t="s">
        <v>716</v>
      </c>
      <c r="H176" s="2"/>
      <c r="I176" s="2" t="s">
        <v>717</v>
      </c>
      <c r="J176" s="2" t="s">
        <v>718</v>
      </c>
      <c r="K176" s="2" t="s">
        <v>81</v>
      </c>
      <c r="L176" s="3"/>
      <c r="M176" s="3"/>
      <c r="N176" s="3"/>
    </row>
    <row r="177" customFormat="false" ht="26.85" hidden="false" customHeight="false" outlineLevel="0" collapsed="false">
      <c r="A177" s="2" t="s">
        <v>719</v>
      </c>
      <c r="B177" s="2" t="s">
        <v>720</v>
      </c>
      <c r="C177" s="2" t="s">
        <v>721</v>
      </c>
      <c r="D177" s="2" t="s">
        <v>722</v>
      </c>
      <c r="E177" s="2" t="s">
        <v>58</v>
      </c>
      <c r="F177" s="2" t="s">
        <v>59</v>
      </c>
      <c r="G177" s="2" t="s">
        <v>235</v>
      </c>
      <c r="H177" s="2"/>
      <c r="I177" s="2"/>
      <c r="J177" s="2"/>
      <c r="K177" s="2"/>
      <c r="L177" s="3"/>
      <c r="M177" s="3"/>
      <c r="N177" s="3"/>
    </row>
    <row r="178" customFormat="false" ht="26.85" hidden="false" customHeight="false" outlineLevel="0" collapsed="false">
      <c r="A178" s="2" t="s">
        <v>723</v>
      </c>
      <c r="B178" s="2" t="s">
        <v>720</v>
      </c>
      <c r="C178" s="2" t="s">
        <v>721</v>
      </c>
      <c r="D178" s="2" t="s">
        <v>722</v>
      </c>
      <c r="E178" s="2" t="s">
        <v>58</v>
      </c>
      <c r="F178" s="2" t="s">
        <v>62</v>
      </c>
      <c r="G178" s="2" t="s">
        <v>63</v>
      </c>
      <c r="H178" s="2"/>
      <c r="I178" s="2"/>
      <c r="J178" s="2"/>
      <c r="K178" s="2"/>
      <c r="L178" s="3"/>
      <c r="M178" s="3"/>
      <c r="N178" s="3"/>
    </row>
    <row r="179" customFormat="false" ht="26.85" hidden="false" customHeight="false" outlineLevel="0" collapsed="false">
      <c r="A179" s="2" t="s">
        <v>724</v>
      </c>
      <c r="B179" s="2" t="s">
        <v>720</v>
      </c>
      <c r="C179" s="2" t="s">
        <v>721</v>
      </c>
      <c r="D179" s="2" t="s">
        <v>722</v>
      </c>
      <c r="E179" s="2" t="s">
        <v>58</v>
      </c>
      <c r="F179" s="2" t="s">
        <v>68</v>
      </c>
      <c r="G179" s="2" t="s">
        <v>725</v>
      </c>
      <c r="H179" s="2"/>
      <c r="I179" s="2"/>
      <c r="J179" s="2"/>
      <c r="K179" s="2"/>
      <c r="L179" s="3"/>
      <c r="M179" s="3"/>
      <c r="N179" s="3"/>
    </row>
    <row r="180" customFormat="false" ht="52.2" hidden="false" customHeight="false" outlineLevel="0" collapsed="false">
      <c r="A180" s="2" t="s">
        <v>726</v>
      </c>
      <c r="B180" s="2" t="s">
        <v>720</v>
      </c>
      <c r="C180" s="2" t="s">
        <v>721</v>
      </c>
      <c r="D180" s="2" t="s">
        <v>722</v>
      </c>
      <c r="E180" s="2" t="s">
        <v>58</v>
      </c>
      <c r="F180" s="2" t="s">
        <v>77</v>
      </c>
      <c r="G180" s="2" t="s">
        <v>727</v>
      </c>
      <c r="H180" s="2"/>
      <c r="I180" s="2" t="s">
        <v>728</v>
      </c>
      <c r="J180" s="2" t="s">
        <v>729</v>
      </c>
      <c r="K180" s="2" t="s">
        <v>81</v>
      </c>
      <c r="L180" s="3"/>
      <c r="M180" s="3"/>
      <c r="N180" s="3"/>
    </row>
    <row r="181" customFormat="false" ht="39.55" hidden="false" customHeight="false" outlineLevel="0" collapsed="false">
      <c r="A181" s="2" t="s">
        <v>730</v>
      </c>
      <c r="B181" s="2" t="s">
        <v>720</v>
      </c>
      <c r="C181" s="2" t="s">
        <v>721</v>
      </c>
      <c r="D181" s="2" t="s">
        <v>722</v>
      </c>
      <c r="E181" s="2" t="s">
        <v>58</v>
      </c>
      <c r="F181" s="2" t="s">
        <v>83</v>
      </c>
      <c r="G181" s="2" t="s">
        <v>731</v>
      </c>
      <c r="H181" s="2"/>
      <c r="I181" s="2" t="s">
        <v>732</v>
      </c>
      <c r="J181" s="2" t="s">
        <v>669</v>
      </c>
      <c r="K181" s="2" t="s">
        <v>81</v>
      </c>
      <c r="L181" s="3"/>
      <c r="M181" s="3"/>
      <c r="N181" s="3"/>
    </row>
    <row r="182" customFormat="false" ht="39.55" hidden="false" customHeight="false" outlineLevel="0" collapsed="false">
      <c r="A182" s="2" t="s">
        <v>733</v>
      </c>
      <c r="B182" s="2" t="s">
        <v>720</v>
      </c>
      <c r="C182" s="2" t="s">
        <v>721</v>
      </c>
      <c r="D182" s="2" t="s">
        <v>722</v>
      </c>
      <c r="E182" s="2" t="s">
        <v>58</v>
      </c>
      <c r="F182" s="2" t="s">
        <v>87</v>
      </c>
      <c r="G182" s="2" t="s">
        <v>734</v>
      </c>
      <c r="H182" s="2"/>
      <c r="I182" s="2" t="s">
        <v>735</v>
      </c>
      <c r="J182" s="2" t="s">
        <v>736</v>
      </c>
      <c r="K182" s="2" t="s">
        <v>81</v>
      </c>
      <c r="L182" s="3"/>
      <c r="M182" s="3"/>
      <c r="N182" s="3"/>
    </row>
    <row r="183" customFormat="false" ht="26.85" hidden="false" customHeight="false" outlineLevel="0" collapsed="false">
      <c r="A183" s="2" t="s">
        <v>737</v>
      </c>
      <c r="B183" s="2" t="s">
        <v>720</v>
      </c>
      <c r="C183" s="2" t="s">
        <v>721</v>
      </c>
      <c r="D183" s="2" t="s">
        <v>722</v>
      </c>
      <c r="E183" s="2" t="s">
        <v>92</v>
      </c>
      <c r="F183" s="2" t="s">
        <v>249</v>
      </c>
      <c r="G183" s="2" t="s">
        <v>738</v>
      </c>
      <c r="H183" s="2"/>
      <c r="I183" s="2"/>
      <c r="J183" s="2"/>
      <c r="K183" s="2"/>
      <c r="L183" s="3"/>
      <c r="M183" s="3"/>
      <c r="N183" s="3"/>
    </row>
    <row r="184" customFormat="false" ht="153.7" hidden="false" customHeight="false" outlineLevel="0" collapsed="false">
      <c r="A184" s="2" t="s">
        <v>739</v>
      </c>
      <c r="B184" s="2" t="s">
        <v>720</v>
      </c>
      <c r="C184" s="2" t="s">
        <v>721</v>
      </c>
      <c r="D184" s="2" t="s">
        <v>722</v>
      </c>
      <c r="E184" s="2" t="s">
        <v>92</v>
      </c>
      <c r="F184" s="2" t="s">
        <v>93</v>
      </c>
      <c r="G184" s="2" t="s">
        <v>740</v>
      </c>
      <c r="H184" s="2"/>
      <c r="I184" s="2"/>
      <c r="J184" s="2"/>
      <c r="K184" s="2"/>
      <c r="L184" s="3"/>
      <c r="M184" s="3"/>
      <c r="N184" s="3"/>
    </row>
    <row r="185" customFormat="false" ht="52.2" hidden="false" customHeight="false" outlineLevel="0" collapsed="false">
      <c r="A185" s="2" t="s">
        <v>741</v>
      </c>
      <c r="B185" s="2" t="s">
        <v>720</v>
      </c>
      <c r="C185" s="2" t="s">
        <v>721</v>
      </c>
      <c r="D185" s="2" t="s">
        <v>722</v>
      </c>
      <c r="E185" s="2" t="s">
        <v>96</v>
      </c>
      <c r="F185" s="2" t="s">
        <v>742</v>
      </c>
      <c r="G185" s="2" t="s">
        <v>743</v>
      </c>
      <c r="H185" s="2" t="s">
        <v>744</v>
      </c>
      <c r="I185" s="2" t="s">
        <v>745</v>
      </c>
      <c r="J185" s="2" t="s">
        <v>291</v>
      </c>
      <c r="K185" s="2" t="s">
        <v>100</v>
      </c>
      <c r="L185" s="3"/>
      <c r="M185" s="3"/>
      <c r="N185" s="3"/>
    </row>
    <row r="186" customFormat="false" ht="52.2" hidden="false" customHeight="false" outlineLevel="0" collapsed="false">
      <c r="A186" s="2" t="s">
        <v>746</v>
      </c>
      <c r="B186" s="2" t="s">
        <v>720</v>
      </c>
      <c r="C186" s="2" t="s">
        <v>721</v>
      </c>
      <c r="D186" s="2" t="s">
        <v>722</v>
      </c>
      <c r="E186" s="2" t="s">
        <v>96</v>
      </c>
      <c r="F186" s="2" t="s">
        <v>747</v>
      </c>
      <c r="G186" s="2" t="s">
        <v>748</v>
      </c>
      <c r="H186" s="2"/>
      <c r="I186" s="2" t="s">
        <v>728</v>
      </c>
      <c r="J186" s="2" t="s">
        <v>729</v>
      </c>
      <c r="K186" s="2" t="s">
        <v>100</v>
      </c>
      <c r="L186" s="3"/>
      <c r="M186" s="3"/>
      <c r="N186" s="3"/>
    </row>
    <row r="187" customFormat="false" ht="39.55" hidden="false" customHeight="false" outlineLevel="0" collapsed="false">
      <c r="A187" s="2" t="s">
        <v>749</v>
      </c>
      <c r="B187" s="2" t="s">
        <v>720</v>
      </c>
      <c r="C187" s="2" t="s">
        <v>721</v>
      </c>
      <c r="D187" s="2" t="s">
        <v>722</v>
      </c>
      <c r="E187" s="2" t="s">
        <v>96</v>
      </c>
      <c r="F187" s="2" t="s">
        <v>750</v>
      </c>
      <c r="G187" s="2" t="s">
        <v>751</v>
      </c>
      <c r="H187" s="2"/>
      <c r="I187" s="2" t="s">
        <v>752</v>
      </c>
      <c r="J187" s="2" t="s">
        <v>753</v>
      </c>
      <c r="K187" s="2" t="s">
        <v>100</v>
      </c>
      <c r="L187" s="3"/>
      <c r="M187" s="3"/>
      <c r="N187" s="3"/>
    </row>
    <row r="188" customFormat="false" ht="52.2" hidden="false" customHeight="false" outlineLevel="0" collapsed="false">
      <c r="A188" s="2" t="s">
        <v>754</v>
      </c>
      <c r="B188" s="2" t="s">
        <v>720</v>
      </c>
      <c r="C188" s="2" t="s">
        <v>721</v>
      </c>
      <c r="D188" s="2" t="s">
        <v>722</v>
      </c>
      <c r="E188" s="2" t="s">
        <v>96</v>
      </c>
      <c r="F188" s="2" t="s">
        <v>755</v>
      </c>
      <c r="G188" s="2" t="s">
        <v>751</v>
      </c>
      <c r="H188" s="2"/>
      <c r="I188" s="2" t="s">
        <v>756</v>
      </c>
      <c r="J188" s="2" t="s">
        <v>753</v>
      </c>
      <c r="K188" s="2" t="s">
        <v>100</v>
      </c>
      <c r="L188" s="3"/>
      <c r="M188" s="3"/>
      <c r="N188" s="3"/>
    </row>
    <row r="189" customFormat="false" ht="64.9" hidden="false" customHeight="false" outlineLevel="0" collapsed="false">
      <c r="A189" s="2" t="s">
        <v>757</v>
      </c>
      <c r="B189" s="2" t="s">
        <v>720</v>
      </c>
      <c r="C189" s="2" t="s">
        <v>721</v>
      </c>
      <c r="D189" s="2" t="s">
        <v>722</v>
      </c>
      <c r="E189" s="2" t="s">
        <v>96</v>
      </c>
      <c r="F189" s="2" t="s">
        <v>758</v>
      </c>
      <c r="G189" s="2" t="s">
        <v>759</v>
      </c>
      <c r="H189" s="2" t="s">
        <v>760</v>
      </c>
      <c r="I189" s="2" t="s">
        <v>761</v>
      </c>
      <c r="J189" s="2" t="s">
        <v>729</v>
      </c>
      <c r="K189" s="2" t="s">
        <v>100</v>
      </c>
      <c r="L189" s="3"/>
      <c r="M189" s="3"/>
      <c r="N189" s="3"/>
    </row>
    <row r="190" customFormat="false" ht="39.55" hidden="false" customHeight="false" outlineLevel="0" collapsed="false">
      <c r="A190" s="2" t="s">
        <v>762</v>
      </c>
      <c r="B190" s="2" t="s">
        <v>720</v>
      </c>
      <c r="C190" s="2" t="s">
        <v>721</v>
      </c>
      <c r="D190" s="2" t="s">
        <v>722</v>
      </c>
      <c r="E190" s="2" t="s">
        <v>96</v>
      </c>
      <c r="F190" s="2" t="s">
        <v>763</v>
      </c>
      <c r="G190" s="2" t="s">
        <v>764</v>
      </c>
      <c r="H190" s="2" t="s">
        <v>765</v>
      </c>
      <c r="I190" s="2" t="s">
        <v>732</v>
      </c>
      <c r="J190" s="2" t="s">
        <v>669</v>
      </c>
      <c r="K190" s="2" t="s">
        <v>100</v>
      </c>
      <c r="L190" s="3"/>
      <c r="M190" s="3"/>
      <c r="N190" s="3"/>
    </row>
    <row r="191" customFormat="false" ht="52.2" hidden="false" customHeight="false" outlineLevel="0" collapsed="false">
      <c r="A191" s="2" t="s">
        <v>766</v>
      </c>
      <c r="B191" s="2" t="s">
        <v>720</v>
      </c>
      <c r="C191" s="2" t="s">
        <v>721</v>
      </c>
      <c r="D191" s="2" t="s">
        <v>722</v>
      </c>
      <c r="E191" s="2" t="s">
        <v>96</v>
      </c>
      <c r="F191" s="2" t="s">
        <v>767</v>
      </c>
      <c r="G191" s="2" t="s">
        <v>751</v>
      </c>
      <c r="H191" s="2"/>
      <c r="I191" s="2" t="s">
        <v>768</v>
      </c>
      <c r="J191" s="2" t="s">
        <v>769</v>
      </c>
      <c r="K191" s="2" t="s">
        <v>100</v>
      </c>
      <c r="L191" s="3"/>
      <c r="M191" s="3"/>
      <c r="N191" s="3"/>
    </row>
    <row r="192" customFormat="false" ht="52.2" hidden="false" customHeight="false" outlineLevel="0" collapsed="false">
      <c r="A192" s="2" t="s">
        <v>770</v>
      </c>
      <c r="B192" s="2" t="s">
        <v>720</v>
      </c>
      <c r="C192" s="2" t="s">
        <v>721</v>
      </c>
      <c r="D192" s="2" t="s">
        <v>722</v>
      </c>
      <c r="E192" s="2" t="s">
        <v>96</v>
      </c>
      <c r="F192" s="2" t="s">
        <v>771</v>
      </c>
      <c r="G192" s="2" t="s">
        <v>751</v>
      </c>
      <c r="H192" s="2"/>
      <c r="I192" s="2" t="s">
        <v>768</v>
      </c>
      <c r="J192" s="2" t="s">
        <v>769</v>
      </c>
      <c r="K192" s="2" t="s">
        <v>100</v>
      </c>
      <c r="L192" s="3"/>
      <c r="M192" s="3"/>
      <c r="N192" s="3"/>
    </row>
    <row r="193" customFormat="false" ht="52.2" hidden="false" customHeight="false" outlineLevel="0" collapsed="false">
      <c r="A193" s="2" t="s">
        <v>772</v>
      </c>
      <c r="B193" s="2" t="s">
        <v>720</v>
      </c>
      <c r="C193" s="2" t="s">
        <v>721</v>
      </c>
      <c r="D193" s="2" t="s">
        <v>722</v>
      </c>
      <c r="E193" s="2" t="s">
        <v>96</v>
      </c>
      <c r="F193" s="2" t="s">
        <v>773</v>
      </c>
      <c r="G193" s="2" t="s">
        <v>774</v>
      </c>
      <c r="H193" s="2"/>
      <c r="I193" s="2" t="s">
        <v>768</v>
      </c>
      <c r="J193" s="2" t="s">
        <v>769</v>
      </c>
      <c r="K193" s="2" t="s">
        <v>100</v>
      </c>
      <c r="L193" s="3"/>
      <c r="M193" s="3"/>
      <c r="N193" s="3"/>
    </row>
    <row r="194" customFormat="false" ht="52.2" hidden="false" customHeight="false" outlineLevel="0" collapsed="false">
      <c r="A194" s="2" t="s">
        <v>775</v>
      </c>
      <c r="B194" s="2" t="s">
        <v>720</v>
      </c>
      <c r="C194" s="2" t="s">
        <v>721</v>
      </c>
      <c r="D194" s="2" t="s">
        <v>722</v>
      </c>
      <c r="E194" s="2" t="s">
        <v>96</v>
      </c>
      <c r="F194" s="2" t="s">
        <v>776</v>
      </c>
      <c r="G194" s="2" t="s">
        <v>751</v>
      </c>
      <c r="H194" s="2"/>
      <c r="I194" s="2" t="s">
        <v>768</v>
      </c>
      <c r="J194" s="2" t="s">
        <v>769</v>
      </c>
      <c r="K194" s="2" t="s">
        <v>100</v>
      </c>
      <c r="L194" s="3"/>
      <c r="M194" s="3"/>
      <c r="N194" s="3"/>
    </row>
    <row r="195" customFormat="false" ht="52.2" hidden="false" customHeight="false" outlineLevel="0" collapsed="false">
      <c r="A195" s="2" t="s">
        <v>777</v>
      </c>
      <c r="B195" s="2" t="s">
        <v>720</v>
      </c>
      <c r="C195" s="2" t="s">
        <v>721</v>
      </c>
      <c r="D195" s="2" t="s">
        <v>722</v>
      </c>
      <c r="E195" s="2" t="s">
        <v>96</v>
      </c>
      <c r="F195" s="2" t="s">
        <v>778</v>
      </c>
      <c r="G195" s="2" t="s">
        <v>779</v>
      </c>
      <c r="H195" s="2" t="s">
        <v>780</v>
      </c>
      <c r="I195" s="2" t="s">
        <v>768</v>
      </c>
      <c r="J195" s="2" t="s">
        <v>769</v>
      </c>
      <c r="K195" s="2" t="s">
        <v>100</v>
      </c>
      <c r="L195" s="3"/>
      <c r="M195" s="3"/>
      <c r="N195" s="3"/>
    </row>
    <row r="196" customFormat="false" ht="26.85" hidden="false" customHeight="false" outlineLevel="0" collapsed="false">
      <c r="A196" s="2" t="s">
        <v>781</v>
      </c>
      <c r="B196" s="2" t="s">
        <v>720</v>
      </c>
      <c r="C196" s="2" t="s">
        <v>721</v>
      </c>
      <c r="D196" s="2" t="s">
        <v>722</v>
      </c>
      <c r="E196" s="2" t="s">
        <v>96</v>
      </c>
      <c r="F196" s="2" t="s">
        <v>782</v>
      </c>
      <c r="G196" s="2" t="s">
        <v>751</v>
      </c>
      <c r="H196" s="2" t="s">
        <v>783</v>
      </c>
      <c r="I196" s="2" t="s">
        <v>784</v>
      </c>
      <c r="J196" s="2" t="s">
        <v>769</v>
      </c>
      <c r="K196" s="2" t="s">
        <v>100</v>
      </c>
      <c r="L196" s="3"/>
      <c r="M196" s="3"/>
      <c r="N196" s="3"/>
    </row>
    <row r="197" customFormat="false" ht="26.85" hidden="false" customHeight="false" outlineLevel="0" collapsed="false">
      <c r="A197" s="2" t="s">
        <v>785</v>
      </c>
      <c r="B197" s="2" t="s">
        <v>720</v>
      </c>
      <c r="C197" s="2" t="s">
        <v>721</v>
      </c>
      <c r="D197" s="2" t="s">
        <v>722</v>
      </c>
      <c r="E197" s="2" t="s">
        <v>96</v>
      </c>
      <c r="F197" s="2" t="s">
        <v>786</v>
      </c>
      <c r="G197" s="2" t="s">
        <v>751</v>
      </c>
      <c r="H197" s="2" t="s">
        <v>787</v>
      </c>
      <c r="I197" s="2" t="s">
        <v>788</v>
      </c>
      <c r="J197" s="2" t="s">
        <v>769</v>
      </c>
      <c r="K197" s="2" t="s">
        <v>100</v>
      </c>
      <c r="L197" s="3"/>
      <c r="M197" s="3"/>
      <c r="N197" s="3"/>
    </row>
    <row r="198" customFormat="false" ht="26.85" hidden="false" customHeight="false" outlineLevel="0" collapsed="false">
      <c r="A198" s="2" t="s">
        <v>789</v>
      </c>
      <c r="B198" s="2" t="s">
        <v>720</v>
      </c>
      <c r="C198" s="2" t="s">
        <v>721</v>
      </c>
      <c r="D198" s="2" t="s">
        <v>722</v>
      </c>
      <c r="E198" s="2" t="s">
        <v>96</v>
      </c>
      <c r="F198" s="2" t="s">
        <v>790</v>
      </c>
      <c r="G198" s="2" t="s">
        <v>791</v>
      </c>
      <c r="H198" s="2" t="s">
        <v>792</v>
      </c>
      <c r="I198" s="2" t="s">
        <v>793</v>
      </c>
      <c r="J198" s="2" t="s">
        <v>794</v>
      </c>
      <c r="K198" s="2" t="s">
        <v>100</v>
      </c>
      <c r="L198" s="3"/>
      <c r="M198" s="3"/>
      <c r="N198" s="3"/>
    </row>
    <row r="199" customFormat="false" ht="52.2" hidden="false" customHeight="false" outlineLevel="0" collapsed="false">
      <c r="A199" s="2" t="s">
        <v>795</v>
      </c>
      <c r="B199" s="2" t="s">
        <v>720</v>
      </c>
      <c r="C199" s="2" t="s">
        <v>721</v>
      </c>
      <c r="D199" s="2" t="s">
        <v>722</v>
      </c>
      <c r="E199" s="2" t="s">
        <v>96</v>
      </c>
      <c r="F199" s="2" t="s">
        <v>796</v>
      </c>
      <c r="G199" s="2" t="s">
        <v>791</v>
      </c>
      <c r="H199" s="2"/>
      <c r="I199" s="2" t="s">
        <v>797</v>
      </c>
      <c r="J199" s="2" t="s">
        <v>794</v>
      </c>
      <c r="K199" s="2" t="s">
        <v>100</v>
      </c>
      <c r="L199" s="3"/>
      <c r="M199" s="3"/>
      <c r="N199" s="3"/>
    </row>
    <row r="200" customFormat="false" ht="52.2" hidden="false" customHeight="false" outlineLevel="0" collapsed="false">
      <c r="A200" s="2" t="s">
        <v>798</v>
      </c>
      <c r="B200" s="2" t="s">
        <v>720</v>
      </c>
      <c r="C200" s="2" t="s">
        <v>721</v>
      </c>
      <c r="D200" s="2" t="s">
        <v>722</v>
      </c>
      <c r="E200" s="2" t="s">
        <v>96</v>
      </c>
      <c r="F200" s="2" t="s">
        <v>799</v>
      </c>
      <c r="G200" s="2" t="s">
        <v>791</v>
      </c>
      <c r="H200" s="2"/>
      <c r="I200" s="2" t="s">
        <v>797</v>
      </c>
      <c r="J200" s="2" t="s">
        <v>794</v>
      </c>
      <c r="K200" s="2" t="s">
        <v>100</v>
      </c>
      <c r="L200" s="3"/>
      <c r="M200" s="3"/>
      <c r="N200" s="3"/>
    </row>
    <row r="201" customFormat="false" ht="52.2" hidden="false" customHeight="false" outlineLevel="0" collapsed="false">
      <c r="A201" s="2" t="s">
        <v>800</v>
      </c>
      <c r="B201" s="2" t="s">
        <v>720</v>
      </c>
      <c r="C201" s="2" t="s">
        <v>721</v>
      </c>
      <c r="D201" s="2" t="s">
        <v>722</v>
      </c>
      <c r="E201" s="2" t="s">
        <v>96</v>
      </c>
      <c r="F201" s="2" t="s">
        <v>801</v>
      </c>
      <c r="G201" s="2" t="s">
        <v>802</v>
      </c>
      <c r="H201" s="2"/>
      <c r="I201" s="2" t="s">
        <v>797</v>
      </c>
      <c r="J201" s="2" t="s">
        <v>794</v>
      </c>
      <c r="K201" s="2" t="s">
        <v>100</v>
      </c>
      <c r="L201" s="3"/>
      <c r="M201" s="3"/>
      <c r="N201" s="3"/>
    </row>
    <row r="202" customFormat="false" ht="39.55" hidden="false" customHeight="false" outlineLevel="0" collapsed="false">
      <c r="A202" s="2" t="s">
        <v>803</v>
      </c>
      <c r="B202" s="2" t="s">
        <v>720</v>
      </c>
      <c r="C202" s="2" t="s">
        <v>721</v>
      </c>
      <c r="D202" s="2" t="s">
        <v>722</v>
      </c>
      <c r="E202" s="2" t="s">
        <v>96</v>
      </c>
      <c r="F202" s="2" t="s">
        <v>804</v>
      </c>
      <c r="G202" s="2" t="s">
        <v>805</v>
      </c>
      <c r="H202" s="2"/>
      <c r="I202" s="2" t="s">
        <v>806</v>
      </c>
      <c r="J202" s="2" t="s">
        <v>669</v>
      </c>
      <c r="K202" s="2" t="s">
        <v>100</v>
      </c>
      <c r="L202" s="3"/>
      <c r="M202" s="3"/>
      <c r="N202" s="3"/>
    </row>
    <row r="203" customFormat="false" ht="64.9" hidden="false" customHeight="false" outlineLevel="0" collapsed="false">
      <c r="A203" s="2" t="s">
        <v>807</v>
      </c>
      <c r="B203" s="2" t="s">
        <v>720</v>
      </c>
      <c r="C203" s="2" t="s">
        <v>721</v>
      </c>
      <c r="D203" s="2" t="s">
        <v>722</v>
      </c>
      <c r="E203" s="2" t="s">
        <v>96</v>
      </c>
      <c r="F203" s="2" t="s">
        <v>808</v>
      </c>
      <c r="G203" s="2" t="s">
        <v>809</v>
      </c>
      <c r="H203" s="2" t="s">
        <v>810</v>
      </c>
      <c r="I203" s="2" t="s">
        <v>811</v>
      </c>
      <c r="J203" s="2" t="s">
        <v>812</v>
      </c>
      <c r="K203" s="2" t="s">
        <v>100</v>
      </c>
      <c r="L203" s="3"/>
      <c r="M203" s="3"/>
      <c r="N203" s="3"/>
    </row>
    <row r="204" customFormat="false" ht="64.9" hidden="false" customHeight="false" outlineLevel="0" collapsed="false">
      <c r="A204" s="2" t="s">
        <v>813</v>
      </c>
      <c r="B204" s="2" t="s">
        <v>720</v>
      </c>
      <c r="C204" s="2" t="s">
        <v>721</v>
      </c>
      <c r="D204" s="2" t="s">
        <v>722</v>
      </c>
      <c r="E204" s="2" t="s">
        <v>96</v>
      </c>
      <c r="F204" s="2" t="s">
        <v>814</v>
      </c>
      <c r="G204" s="2" t="s">
        <v>751</v>
      </c>
      <c r="H204" s="2" t="s">
        <v>815</v>
      </c>
      <c r="I204" s="2" t="s">
        <v>811</v>
      </c>
      <c r="J204" s="2" t="s">
        <v>812</v>
      </c>
      <c r="K204" s="2" t="s">
        <v>100</v>
      </c>
      <c r="L204" s="3"/>
      <c r="M204" s="3"/>
      <c r="N204" s="3"/>
    </row>
    <row r="205" customFormat="false" ht="26.85" hidden="false" customHeight="false" outlineLevel="0" collapsed="false">
      <c r="A205" s="2" t="s">
        <v>816</v>
      </c>
      <c r="B205" s="2" t="s">
        <v>720</v>
      </c>
      <c r="C205" s="2" t="s">
        <v>721</v>
      </c>
      <c r="D205" s="2" t="s">
        <v>722</v>
      </c>
      <c r="E205" s="2" t="s">
        <v>96</v>
      </c>
      <c r="F205" s="2" t="s">
        <v>817</v>
      </c>
      <c r="G205" s="2" t="s">
        <v>805</v>
      </c>
      <c r="H205" s="2" t="s">
        <v>818</v>
      </c>
      <c r="I205" s="2" t="s">
        <v>819</v>
      </c>
      <c r="J205" s="2" t="s">
        <v>753</v>
      </c>
      <c r="K205" s="2" t="s">
        <v>100</v>
      </c>
      <c r="L205" s="3"/>
      <c r="M205" s="3"/>
      <c r="N205" s="3"/>
    </row>
    <row r="206" customFormat="false" ht="26.85" hidden="false" customHeight="false" outlineLevel="0" collapsed="false">
      <c r="A206" s="2" t="s">
        <v>820</v>
      </c>
      <c r="B206" s="2" t="s">
        <v>720</v>
      </c>
      <c r="C206" s="2" t="s">
        <v>721</v>
      </c>
      <c r="D206" s="2" t="s">
        <v>722</v>
      </c>
      <c r="E206" s="2" t="s">
        <v>96</v>
      </c>
      <c r="F206" s="2" t="s">
        <v>821</v>
      </c>
      <c r="G206" s="2" t="s">
        <v>805</v>
      </c>
      <c r="H206" s="2" t="s">
        <v>822</v>
      </c>
      <c r="I206" s="2" t="s">
        <v>819</v>
      </c>
      <c r="J206" s="2" t="s">
        <v>753</v>
      </c>
      <c r="K206" s="2" t="s">
        <v>100</v>
      </c>
      <c r="L206" s="3"/>
      <c r="M206" s="3"/>
      <c r="N206" s="3"/>
    </row>
    <row r="207" customFormat="false" ht="26.85" hidden="false" customHeight="false" outlineLevel="0" collapsed="false">
      <c r="A207" s="2" t="s">
        <v>823</v>
      </c>
      <c r="B207" s="2" t="s">
        <v>720</v>
      </c>
      <c r="C207" s="2" t="s">
        <v>721</v>
      </c>
      <c r="D207" s="2" t="s">
        <v>722</v>
      </c>
      <c r="E207" s="2" t="s">
        <v>96</v>
      </c>
      <c r="F207" s="2" t="s">
        <v>824</v>
      </c>
      <c r="G207" s="2"/>
      <c r="H207" s="2" t="s">
        <v>825</v>
      </c>
      <c r="I207" s="2" t="s">
        <v>826</v>
      </c>
      <c r="J207" s="2" t="s">
        <v>827</v>
      </c>
      <c r="K207" s="2" t="s">
        <v>100</v>
      </c>
      <c r="L207" s="3"/>
      <c r="M207" s="3"/>
      <c r="N207" s="3"/>
    </row>
    <row r="208" customFormat="false" ht="26.85" hidden="false" customHeight="false" outlineLevel="0" collapsed="false">
      <c r="A208" s="2" t="s">
        <v>828</v>
      </c>
      <c r="B208" s="2" t="s">
        <v>720</v>
      </c>
      <c r="C208" s="2" t="s">
        <v>721</v>
      </c>
      <c r="D208" s="2" t="s">
        <v>722</v>
      </c>
      <c r="E208" s="2" t="s">
        <v>96</v>
      </c>
      <c r="F208" s="2" t="s">
        <v>829</v>
      </c>
      <c r="G208" s="2"/>
      <c r="H208" s="2" t="s">
        <v>830</v>
      </c>
      <c r="I208" s="2" t="s">
        <v>826</v>
      </c>
      <c r="J208" s="2" t="s">
        <v>827</v>
      </c>
      <c r="K208" s="2" t="s">
        <v>100</v>
      </c>
      <c r="L208" s="3"/>
      <c r="M208" s="3"/>
      <c r="N208" s="3"/>
    </row>
    <row r="209" customFormat="false" ht="26.85" hidden="false" customHeight="false" outlineLevel="0" collapsed="false">
      <c r="A209" s="2" t="s">
        <v>831</v>
      </c>
      <c r="B209" s="2" t="s">
        <v>720</v>
      </c>
      <c r="C209" s="2" t="s">
        <v>721</v>
      </c>
      <c r="D209" s="2" t="s">
        <v>722</v>
      </c>
      <c r="E209" s="2" t="s">
        <v>96</v>
      </c>
      <c r="F209" s="2" t="s">
        <v>832</v>
      </c>
      <c r="G209" s="2" t="s">
        <v>751</v>
      </c>
      <c r="H209" s="2" t="s">
        <v>833</v>
      </c>
      <c r="I209" s="2" t="s">
        <v>834</v>
      </c>
      <c r="J209" s="2" t="s">
        <v>835</v>
      </c>
      <c r="K209" s="2" t="s">
        <v>100</v>
      </c>
      <c r="L209" s="3"/>
      <c r="M209" s="3"/>
      <c r="N209" s="3"/>
    </row>
    <row r="210" customFormat="false" ht="26.85" hidden="false" customHeight="false" outlineLevel="0" collapsed="false">
      <c r="A210" s="2" t="s">
        <v>836</v>
      </c>
      <c r="B210" s="2" t="s">
        <v>720</v>
      </c>
      <c r="C210" s="2" t="s">
        <v>721</v>
      </c>
      <c r="D210" s="2" t="s">
        <v>722</v>
      </c>
      <c r="E210" s="2" t="s">
        <v>96</v>
      </c>
      <c r="F210" s="2" t="s">
        <v>837</v>
      </c>
      <c r="G210" s="2" t="s">
        <v>751</v>
      </c>
      <c r="H210" s="2"/>
      <c r="I210" s="2" t="s">
        <v>838</v>
      </c>
      <c r="J210" s="2" t="s">
        <v>835</v>
      </c>
      <c r="K210" s="2" t="s">
        <v>100</v>
      </c>
      <c r="L210" s="3"/>
      <c r="M210" s="3"/>
      <c r="N210" s="3"/>
    </row>
    <row r="211" customFormat="false" ht="26.85" hidden="false" customHeight="false" outlineLevel="0" collapsed="false">
      <c r="A211" s="2" t="s">
        <v>839</v>
      </c>
      <c r="B211" s="2" t="s">
        <v>720</v>
      </c>
      <c r="C211" s="2" t="s">
        <v>721</v>
      </c>
      <c r="D211" s="2" t="s">
        <v>722</v>
      </c>
      <c r="E211" s="2" t="s">
        <v>96</v>
      </c>
      <c r="F211" s="2" t="s">
        <v>840</v>
      </c>
      <c r="G211" s="2"/>
      <c r="H211" s="2" t="s">
        <v>841</v>
      </c>
      <c r="I211" s="2" t="s">
        <v>842</v>
      </c>
      <c r="J211" s="2" t="s">
        <v>827</v>
      </c>
      <c r="K211" s="2" t="s">
        <v>100</v>
      </c>
      <c r="L211" s="3"/>
      <c r="M211" s="3"/>
      <c r="N211" s="3"/>
    </row>
    <row r="212" customFormat="false" ht="52.2" hidden="false" customHeight="false" outlineLevel="0" collapsed="false">
      <c r="A212" s="2" t="s">
        <v>843</v>
      </c>
      <c r="B212" s="2" t="s">
        <v>720</v>
      </c>
      <c r="C212" s="2" t="s">
        <v>721</v>
      </c>
      <c r="D212" s="2" t="s">
        <v>722</v>
      </c>
      <c r="E212" s="2" t="s">
        <v>159</v>
      </c>
      <c r="F212" s="2" t="s">
        <v>844</v>
      </c>
      <c r="G212" s="2" t="s">
        <v>845</v>
      </c>
      <c r="H212" s="2" t="s">
        <v>846</v>
      </c>
      <c r="I212" s="2" t="s">
        <v>847</v>
      </c>
      <c r="J212" s="2" t="s">
        <v>848</v>
      </c>
      <c r="K212" s="2" t="s">
        <v>186</v>
      </c>
      <c r="L212" s="3"/>
      <c r="M212" s="3"/>
      <c r="N212" s="3"/>
    </row>
    <row r="213" customFormat="false" ht="55.2" hidden="false" customHeight="false" outlineLevel="0" collapsed="false">
      <c r="A213" s="2" t="s">
        <v>849</v>
      </c>
      <c r="B213" s="2" t="s">
        <v>720</v>
      </c>
      <c r="C213" s="2" t="s">
        <v>721</v>
      </c>
      <c r="D213" s="2" t="s">
        <v>722</v>
      </c>
      <c r="E213" s="2" t="s">
        <v>159</v>
      </c>
      <c r="F213" s="2" t="s">
        <v>850</v>
      </c>
      <c r="G213" s="2" t="s">
        <v>851</v>
      </c>
      <c r="H213" s="2" t="s">
        <v>852</v>
      </c>
      <c r="I213" s="2" t="s">
        <v>853</v>
      </c>
      <c r="J213" s="2" t="s">
        <v>854</v>
      </c>
      <c r="K213" s="2" t="s">
        <v>186</v>
      </c>
      <c r="L213" s="3"/>
      <c r="M213" s="3"/>
      <c r="N213" s="3"/>
    </row>
    <row r="214" customFormat="false" ht="52.2" hidden="false" customHeight="false" outlineLevel="0" collapsed="false">
      <c r="A214" s="2" t="s">
        <v>855</v>
      </c>
      <c r="B214" s="2" t="s">
        <v>720</v>
      </c>
      <c r="C214" s="2" t="s">
        <v>721</v>
      </c>
      <c r="D214" s="2" t="s">
        <v>722</v>
      </c>
      <c r="E214" s="2" t="s">
        <v>159</v>
      </c>
      <c r="F214" s="2" t="s">
        <v>856</v>
      </c>
      <c r="G214" s="2" t="s">
        <v>857</v>
      </c>
      <c r="H214" s="2" t="s">
        <v>858</v>
      </c>
      <c r="I214" s="2" t="s">
        <v>859</v>
      </c>
      <c r="J214" s="2" t="s">
        <v>860</v>
      </c>
      <c r="K214" s="2" t="s">
        <v>186</v>
      </c>
      <c r="L214" s="3"/>
      <c r="M214" s="3"/>
      <c r="N214" s="3"/>
    </row>
    <row r="215" customFormat="false" ht="52.2" hidden="false" customHeight="false" outlineLevel="0" collapsed="false">
      <c r="A215" s="2" t="s">
        <v>861</v>
      </c>
      <c r="B215" s="2" t="s">
        <v>720</v>
      </c>
      <c r="C215" s="2" t="s">
        <v>721</v>
      </c>
      <c r="D215" s="2" t="s">
        <v>722</v>
      </c>
      <c r="E215" s="2" t="s">
        <v>159</v>
      </c>
      <c r="F215" s="2" t="s">
        <v>862</v>
      </c>
      <c r="G215" s="2" t="s">
        <v>863</v>
      </c>
      <c r="H215" s="2" t="s">
        <v>864</v>
      </c>
      <c r="I215" s="2" t="s">
        <v>865</v>
      </c>
      <c r="J215" s="2" t="s">
        <v>866</v>
      </c>
      <c r="K215" s="2" t="s">
        <v>186</v>
      </c>
      <c r="L215" s="3"/>
      <c r="M215" s="3"/>
      <c r="N215" s="3"/>
    </row>
    <row r="216" customFormat="false" ht="52.2" hidden="false" customHeight="false" outlineLevel="0" collapsed="false">
      <c r="A216" s="2" t="s">
        <v>867</v>
      </c>
      <c r="B216" s="2" t="s">
        <v>720</v>
      </c>
      <c r="C216" s="2" t="s">
        <v>721</v>
      </c>
      <c r="D216" s="2" t="s">
        <v>722</v>
      </c>
      <c r="E216" s="2" t="s">
        <v>159</v>
      </c>
      <c r="F216" s="2" t="s">
        <v>868</v>
      </c>
      <c r="G216" s="2" t="s">
        <v>869</v>
      </c>
      <c r="H216" s="2" t="s">
        <v>870</v>
      </c>
      <c r="I216" s="2" t="s">
        <v>871</v>
      </c>
      <c r="J216" s="2" t="s">
        <v>872</v>
      </c>
      <c r="K216" s="2" t="s">
        <v>186</v>
      </c>
      <c r="L216" s="3"/>
      <c r="M216" s="3"/>
      <c r="N216" s="3"/>
    </row>
    <row r="217" customFormat="false" ht="52.2" hidden="false" customHeight="false" outlineLevel="0" collapsed="false">
      <c r="A217" s="2" t="s">
        <v>873</v>
      </c>
      <c r="B217" s="2" t="s">
        <v>720</v>
      </c>
      <c r="C217" s="2" t="s">
        <v>721</v>
      </c>
      <c r="D217" s="2" t="s">
        <v>722</v>
      </c>
      <c r="E217" s="2" t="s">
        <v>159</v>
      </c>
      <c r="F217" s="2" t="s">
        <v>874</v>
      </c>
      <c r="G217" s="2" t="s">
        <v>875</v>
      </c>
      <c r="H217" s="2" t="s">
        <v>876</v>
      </c>
      <c r="I217" s="2" t="s">
        <v>877</v>
      </c>
      <c r="J217" s="2" t="s">
        <v>878</v>
      </c>
      <c r="K217" s="2" t="s">
        <v>186</v>
      </c>
      <c r="L217" s="3"/>
      <c r="M217" s="3"/>
      <c r="N217" s="3"/>
    </row>
    <row r="218" customFormat="false" ht="52.2" hidden="false" customHeight="false" outlineLevel="0" collapsed="false">
      <c r="A218" s="2" t="s">
        <v>879</v>
      </c>
      <c r="B218" s="2" t="s">
        <v>720</v>
      </c>
      <c r="C218" s="2" t="s">
        <v>721</v>
      </c>
      <c r="D218" s="2" t="s">
        <v>722</v>
      </c>
      <c r="E218" s="2" t="s">
        <v>159</v>
      </c>
      <c r="F218" s="2" t="s">
        <v>880</v>
      </c>
      <c r="G218" s="2" t="s">
        <v>881</v>
      </c>
      <c r="H218" s="2" t="s">
        <v>882</v>
      </c>
      <c r="I218" s="2" t="s">
        <v>883</v>
      </c>
      <c r="J218" s="2" t="s">
        <v>884</v>
      </c>
      <c r="K218" s="2" t="s">
        <v>100</v>
      </c>
      <c r="L218" s="3"/>
      <c r="M218" s="3"/>
      <c r="N218" s="3"/>
    </row>
    <row r="219" customFormat="false" ht="52.2" hidden="false" customHeight="false" outlineLevel="0" collapsed="false">
      <c r="A219" s="2" t="s">
        <v>885</v>
      </c>
      <c r="B219" s="2" t="s">
        <v>720</v>
      </c>
      <c r="C219" s="2" t="s">
        <v>721</v>
      </c>
      <c r="D219" s="2" t="s">
        <v>722</v>
      </c>
      <c r="E219" s="2" t="s">
        <v>159</v>
      </c>
      <c r="F219" s="2" t="s">
        <v>886</v>
      </c>
      <c r="G219" s="2" t="s">
        <v>887</v>
      </c>
      <c r="H219" s="2" t="s">
        <v>882</v>
      </c>
      <c r="I219" s="2" t="s">
        <v>888</v>
      </c>
      <c r="J219" s="2" t="s">
        <v>889</v>
      </c>
      <c r="K219" s="2" t="s">
        <v>186</v>
      </c>
      <c r="L219" s="3"/>
      <c r="M219" s="3"/>
      <c r="N219" s="3"/>
    </row>
    <row r="220" customFormat="false" ht="52.2" hidden="false" customHeight="false" outlineLevel="0" collapsed="false">
      <c r="A220" s="2" t="s">
        <v>890</v>
      </c>
      <c r="B220" s="2" t="s">
        <v>720</v>
      </c>
      <c r="C220" s="2" t="s">
        <v>721</v>
      </c>
      <c r="D220" s="2" t="s">
        <v>722</v>
      </c>
      <c r="E220" s="2" t="s">
        <v>159</v>
      </c>
      <c r="F220" s="2" t="s">
        <v>891</v>
      </c>
      <c r="G220" s="2" t="s">
        <v>892</v>
      </c>
      <c r="H220" s="2" t="s">
        <v>893</v>
      </c>
      <c r="I220" s="2" t="s">
        <v>894</v>
      </c>
      <c r="J220" s="2" t="s">
        <v>895</v>
      </c>
      <c r="K220" s="2" t="s">
        <v>186</v>
      </c>
      <c r="L220" s="3"/>
      <c r="M220" s="3"/>
      <c r="N220" s="3"/>
    </row>
    <row r="221" customFormat="false" ht="52.2" hidden="false" customHeight="false" outlineLevel="0" collapsed="false">
      <c r="A221" s="2" t="s">
        <v>896</v>
      </c>
      <c r="B221" s="2" t="s">
        <v>720</v>
      </c>
      <c r="C221" s="2" t="s">
        <v>721</v>
      </c>
      <c r="D221" s="2" t="s">
        <v>722</v>
      </c>
      <c r="E221" s="2" t="s">
        <v>159</v>
      </c>
      <c r="F221" s="2" t="s">
        <v>897</v>
      </c>
      <c r="G221" s="2" t="s">
        <v>898</v>
      </c>
      <c r="H221" s="2" t="s">
        <v>899</v>
      </c>
      <c r="I221" s="2" t="s">
        <v>883</v>
      </c>
      <c r="J221" s="2" t="s">
        <v>884</v>
      </c>
      <c r="K221" s="2" t="s">
        <v>100</v>
      </c>
      <c r="L221" s="3"/>
      <c r="M221" s="3"/>
      <c r="N221" s="3"/>
    </row>
    <row r="222" customFormat="false" ht="52.2" hidden="false" customHeight="false" outlineLevel="0" collapsed="false">
      <c r="A222" s="2" t="s">
        <v>900</v>
      </c>
      <c r="B222" s="2" t="s">
        <v>720</v>
      </c>
      <c r="C222" s="2" t="s">
        <v>721</v>
      </c>
      <c r="D222" s="2" t="s">
        <v>722</v>
      </c>
      <c r="E222" s="2" t="s">
        <v>159</v>
      </c>
      <c r="F222" s="2" t="s">
        <v>901</v>
      </c>
      <c r="G222" s="2" t="s">
        <v>902</v>
      </c>
      <c r="H222" s="2" t="s">
        <v>903</v>
      </c>
      <c r="I222" s="2" t="s">
        <v>904</v>
      </c>
      <c r="J222" s="2" t="s">
        <v>905</v>
      </c>
      <c r="K222" s="2" t="s">
        <v>186</v>
      </c>
      <c r="L222" s="3"/>
      <c r="M222" s="3"/>
      <c r="N222" s="3"/>
    </row>
    <row r="223" customFormat="false" ht="52.2" hidden="false" customHeight="false" outlineLevel="0" collapsed="false">
      <c r="A223" s="2" t="s">
        <v>906</v>
      </c>
      <c r="B223" s="2" t="s">
        <v>720</v>
      </c>
      <c r="C223" s="2" t="s">
        <v>721</v>
      </c>
      <c r="D223" s="2" t="s">
        <v>722</v>
      </c>
      <c r="E223" s="2" t="s">
        <v>159</v>
      </c>
      <c r="F223" s="2" t="s">
        <v>907</v>
      </c>
      <c r="G223" s="2" t="s">
        <v>908</v>
      </c>
      <c r="H223" s="2" t="s">
        <v>909</v>
      </c>
      <c r="I223" s="2" t="s">
        <v>910</v>
      </c>
      <c r="J223" s="2" t="s">
        <v>911</v>
      </c>
      <c r="K223" s="2" t="s">
        <v>186</v>
      </c>
      <c r="L223" s="3"/>
      <c r="M223" s="3"/>
      <c r="N223" s="3"/>
    </row>
    <row r="224" customFormat="false" ht="52.2" hidden="false" customHeight="false" outlineLevel="0" collapsed="false">
      <c r="A224" s="2" t="s">
        <v>912</v>
      </c>
      <c r="B224" s="2" t="s">
        <v>720</v>
      </c>
      <c r="C224" s="2" t="s">
        <v>721</v>
      </c>
      <c r="D224" s="2" t="s">
        <v>722</v>
      </c>
      <c r="E224" s="2" t="s">
        <v>159</v>
      </c>
      <c r="F224" s="2" t="s">
        <v>913</v>
      </c>
      <c r="G224" s="2" t="s">
        <v>914</v>
      </c>
      <c r="H224" s="2" t="s">
        <v>915</v>
      </c>
      <c r="I224" s="2" t="s">
        <v>916</v>
      </c>
      <c r="J224" s="2" t="s">
        <v>884</v>
      </c>
      <c r="K224" s="2" t="s">
        <v>100</v>
      </c>
      <c r="L224" s="3"/>
      <c r="M224" s="3"/>
      <c r="N224" s="3"/>
    </row>
    <row r="225" customFormat="false" ht="67.9" hidden="false" customHeight="false" outlineLevel="0" collapsed="false">
      <c r="A225" s="2" t="s">
        <v>917</v>
      </c>
      <c r="B225" s="2" t="s">
        <v>720</v>
      </c>
      <c r="C225" s="2" t="s">
        <v>721</v>
      </c>
      <c r="D225" s="2" t="s">
        <v>722</v>
      </c>
      <c r="E225" s="2" t="s">
        <v>159</v>
      </c>
      <c r="F225" s="2" t="s">
        <v>918</v>
      </c>
      <c r="G225" s="7" t="s">
        <v>919</v>
      </c>
      <c r="H225" s="2" t="s">
        <v>920</v>
      </c>
      <c r="I225" s="7" t="s">
        <v>921</v>
      </c>
      <c r="J225" s="2" t="s">
        <v>922</v>
      </c>
      <c r="K225" s="2" t="s">
        <v>186</v>
      </c>
      <c r="L225" s="3"/>
      <c r="M225" s="3"/>
      <c r="N225" s="3"/>
    </row>
    <row r="226" customFormat="false" ht="52.2" hidden="false" customHeight="false" outlineLevel="0" collapsed="false">
      <c r="A226" s="2" t="s">
        <v>923</v>
      </c>
      <c r="B226" s="2" t="s">
        <v>720</v>
      </c>
      <c r="C226" s="2" t="s">
        <v>721</v>
      </c>
      <c r="D226" s="2" t="s">
        <v>722</v>
      </c>
      <c r="E226" s="2" t="s">
        <v>159</v>
      </c>
      <c r="F226" s="2" t="s">
        <v>924</v>
      </c>
      <c r="G226" s="2" t="s">
        <v>925</v>
      </c>
      <c r="H226" s="2" t="s">
        <v>926</v>
      </c>
      <c r="I226" s="2" t="s">
        <v>756</v>
      </c>
      <c r="J226" s="2" t="s">
        <v>753</v>
      </c>
      <c r="K226" s="2" t="s">
        <v>100</v>
      </c>
      <c r="L226" s="3"/>
      <c r="M226" s="3"/>
      <c r="N226" s="3"/>
    </row>
    <row r="227" customFormat="false" ht="52.2" hidden="false" customHeight="false" outlineLevel="0" collapsed="false">
      <c r="A227" s="2" t="s">
        <v>927</v>
      </c>
      <c r="B227" s="2" t="s">
        <v>720</v>
      </c>
      <c r="C227" s="2" t="s">
        <v>721</v>
      </c>
      <c r="D227" s="2" t="s">
        <v>722</v>
      </c>
      <c r="E227" s="2" t="s">
        <v>159</v>
      </c>
      <c r="F227" s="2" t="s">
        <v>928</v>
      </c>
      <c r="G227" s="2" t="s">
        <v>929</v>
      </c>
      <c r="H227" s="2" t="s">
        <v>930</v>
      </c>
      <c r="I227" s="2" t="s">
        <v>756</v>
      </c>
      <c r="J227" s="2" t="s">
        <v>753</v>
      </c>
      <c r="K227" s="2" t="s">
        <v>100</v>
      </c>
      <c r="L227" s="3"/>
      <c r="M227" s="3"/>
      <c r="N227" s="3"/>
    </row>
    <row r="228" customFormat="false" ht="52.2" hidden="false" customHeight="false" outlineLevel="0" collapsed="false">
      <c r="A228" s="2" t="s">
        <v>931</v>
      </c>
      <c r="B228" s="2" t="s">
        <v>720</v>
      </c>
      <c r="C228" s="2" t="s">
        <v>721</v>
      </c>
      <c r="D228" s="2" t="s">
        <v>722</v>
      </c>
      <c r="E228" s="2" t="s">
        <v>159</v>
      </c>
      <c r="F228" s="2" t="s">
        <v>932</v>
      </c>
      <c r="G228" s="2" t="s">
        <v>933</v>
      </c>
      <c r="H228" s="2" t="s">
        <v>934</v>
      </c>
      <c r="I228" s="2" t="s">
        <v>935</v>
      </c>
      <c r="J228" s="2" t="s">
        <v>204</v>
      </c>
      <c r="K228" s="2" t="s">
        <v>186</v>
      </c>
      <c r="L228" s="3"/>
      <c r="M228" s="3"/>
      <c r="N228" s="3"/>
    </row>
    <row r="229" customFormat="false" ht="52.2" hidden="false" customHeight="false" outlineLevel="0" collapsed="false">
      <c r="A229" s="2" t="s">
        <v>936</v>
      </c>
      <c r="B229" s="2" t="s">
        <v>720</v>
      </c>
      <c r="C229" s="2" t="s">
        <v>721</v>
      </c>
      <c r="D229" s="2" t="s">
        <v>722</v>
      </c>
      <c r="E229" s="2" t="s">
        <v>159</v>
      </c>
      <c r="F229" s="2" t="s">
        <v>937</v>
      </c>
      <c r="G229" s="2" t="s">
        <v>933</v>
      </c>
      <c r="H229" s="2" t="s">
        <v>938</v>
      </c>
      <c r="I229" s="2" t="s">
        <v>935</v>
      </c>
      <c r="J229" s="2" t="s">
        <v>204</v>
      </c>
      <c r="K229" s="2" t="s">
        <v>186</v>
      </c>
      <c r="L229" s="3"/>
      <c r="M229" s="3"/>
      <c r="N229" s="3"/>
    </row>
    <row r="230" customFormat="false" ht="52.2" hidden="false" customHeight="false" outlineLevel="0" collapsed="false">
      <c r="A230" s="2" t="s">
        <v>939</v>
      </c>
      <c r="B230" s="2" t="s">
        <v>720</v>
      </c>
      <c r="C230" s="2" t="s">
        <v>721</v>
      </c>
      <c r="D230" s="2" t="s">
        <v>722</v>
      </c>
      <c r="E230" s="2" t="s">
        <v>159</v>
      </c>
      <c r="F230" s="2" t="s">
        <v>940</v>
      </c>
      <c r="G230" s="2" t="s">
        <v>941</v>
      </c>
      <c r="H230" s="2" t="s">
        <v>846</v>
      </c>
      <c r="I230" s="2" t="s">
        <v>942</v>
      </c>
      <c r="J230" s="2" t="s">
        <v>729</v>
      </c>
      <c r="K230" s="2" t="s">
        <v>100</v>
      </c>
      <c r="L230" s="3"/>
      <c r="M230" s="3"/>
      <c r="N230" s="3"/>
    </row>
    <row r="231" customFormat="false" ht="39.55" hidden="false" customHeight="false" outlineLevel="0" collapsed="false">
      <c r="A231" s="2" t="s">
        <v>943</v>
      </c>
      <c r="B231" s="2" t="s">
        <v>720</v>
      </c>
      <c r="C231" s="2" t="s">
        <v>721</v>
      </c>
      <c r="D231" s="2" t="s">
        <v>722</v>
      </c>
      <c r="E231" s="2" t="s">
        <v>159</v>
      </c>
      <c r="F231" s="2" t="s">
        <v>944</v>
      </c>
      <c r="G231" s="2" t="s">
        <v>945</v>
      </c>
      <c r="H231" s="2" t="s">
        <v>846</v>
      </c>
      <c r="I231" s="2" t="s">
        <v>946</v>
      </c>
      <c r="J231" s="2" t="s">
        <v>157</v>
      </c>
      <c r="K231" s="2" t="s">
        <v>100</v>
      </c>
      <c r="L231" s="3"/>
      <c r="M231" s="3"/>
      <c r="N231" s="3"/>
    </row>
    <row r="232" customFormat="false" ht="52.2" hidden="false" customHeight="false" outlineLevel="0" collapsed="false">
      <c r="A232" s="2" t="s">
        <v>947</v>
      </c>
      <c r="B232" s="2" t="s">
        <v>720</v>
      </c>
      <c r="C232" s="2" t="s">
        <v>721</v>
      </c>
      <c r="D232" s="2" t="s">
        <v>722</v>
      </c>
      <c r="E232" s="2" t="s">
        <v>159</v>
      </c>
      <c r="F232" s="2" t="s">
        <v>948</v>
      </c>
      <c r="G232" s="2" t="s">
        <v>949</v>
      </c>
      <c r="H232" s="2" t="s">
        <v>846</v>
      </c>
      <c r="I232" s="2" t="s">
        <v>950</v>
      </c>
      <c r="J232" s="2" t="s">
        <v>736</v>
      </c>
      <c r="K232" s="2" t="s">
        <v>100</v>
      </c>
      <c r="L232" s="3"/>
      <c r="M232" s="3"/>
      <c r="N232" s="3"/>
    </row>
    <row r="233" customFormat="false" ht="77.6" hidden="false" customHeight="false" outlineLevel="0" collapsed="false">
      <c r="A233" s="2" t="s">
        <v>951</v>
      </c>
      <c r="B233" s="2" t="s">
        <v>720</v>
      </c>
      <c r="C233" s="2" t="s">
        <v>721</v>
      </c>
      <c r="D233" s="2" t="s">
        <v>722</v>
      </c>
      <c r="E233" s="2" t="s">
        <v>159</v>
      </c>
      <c r="F233" s="2" t="s">
        <v>952</v>
      </c>
      <c r="G233" s="2" t="s">
        <v>953</v>
      </c>
      <c r="H233" s="2" t="s">
        <v>846</v>
      </c>
      <c r="I233" s="2" t="s">
        <v>954</v>
      </c>
      <c r="J233" s="2" t="s">
        <v>736</v>
      </c>
      <c r="K233" s="2" t="s">
        <v>100</v>
      </c>
      <c r="L233" s="3"/>
      <c r="M233" s="3"/>
      <c r="N233" s="3"/>
    </row>
    <row r="234" customFormat="false" ht="52.2" hidden="false" customHeight="false" outlineLevel="0" collapsed="false">
      <c r="A234" s="2" t="s">
        <v>955</v>
      </c>
      <c r="B234" s="2" t="s">
        <v>720</v>
      </c>
      <c r="C234" s="2" t="s">
        <v>721</v>
      </c>
      <c r="D234" s="2" t="s">
        <v>722</v>
      </c>
      <c r="E234" s="2" t="s">
        <v>159</v>
      </c>
      <c r="F234" s="2" t="s">
        <v>956</v>
      </c>
      <c r="G234" s="2" t="s">
        <v>957</v>
      </c>
      <c r="H234" s="2" t="s">
        <v>846</v>
      </c>
      <c r="I234" s="2" t="s">
        <v>735</v>
      </c>
      <c r="J234" s="2" t="s">
        <v>736</v>
      </c>
      <c r="K234" s="2" t="s">
        <v>100</v>
      </c>
      <c r="L234" s="3"/>
      <c r="M234" s="3"/>
      <c r="N234" s="3"/>
    </row>
    <row r="235" customFormat="false" ht="64.9" hidden="false" customHeight="false" outlineLevel="0" collapsed="false">
      <c r="A235" s="2" t="s">
        <v>958</v>
      </c>
      <c r="B235" s="2" t="s">
        <v>720</v>
      </c>
      <c r="C235" s="2" t="s">
        <v>721</v>
      </c>
      <c r="D235" s="2" t="s">
        <v>722</v>
      </c>
      <c r="E235" s="2" t="s">
        <v>159</v>
      </c>
      <c r="F235" s="2" t="s">
        <v>959</v>
      </c>
      <c r="G235" s="2" t="s">
        <v>960</v>
      </c>
      <c r="H235" s="2" t="s">
        <v>961</v>
      </c>
      <c r="I235" s="2" t="s">
        <v>811</v>
      </c>
      <c r="J235" s="2" t="s">
        <v>812</v>
      </c>
      <c r="K235" s="2" t="s">
        <v>100</v>
      </c>
      <c r="L235" s="3"/>
      <c r="M235" s="3"/>
      <c r="N235" s="3"/>
    </row>
    <row r="236" customFormat="false" ht="39.55" hidden="false" customHeight="false" outlineLevel="0" collapsed="false">
      <c r="A236" s="2" t="s">
        <v>962</v>
      </c>
      <c r="B236" s="2" t="s">
        <v>720</v>
      </c>
      <c r="C236" s="2" t="s">
        <v>721</v>
      </c>
      <c r="D236" s="2" t="s">
        <v>722</v>
      </c>
      <c r="E236" s="2" t="s">
        <v>159</v>
      </c>
      <c r="F236" s="2" t="s">
        <v>963</v>
      </c>
      <c r="G236" s="2" t="s">
        <v>964</v>
      </c>
      <c r="H236" s="2" t="s">
        <v>965</v>
      </c>
      <c r="I236" s="2" t="s">
        <v>966</v>
      </c>
      <c r="J236" s="2" t="s">
        <v>967</v>
      </c>
      <c r="K236" s="2" t="s">
        <v>186</v>
      </c>
      <c r="L236" s="3"/>
      <c r="M236" s="3"/>
      <c r="N236" s="3"/>
    </row>
    <row r="237" customFormat="false" ht="39.55" hidden="false" customHeight="false" outlineLevel="0" collapsed="false">
      <c r="A237" s="2" t="s">
        <v>968</v>
      </c>
      <c r="B237" s="2" t="s">
        <v>720</v>
      </c>
      <c r="C237" s="2" t="s">
        <v>721</v>
      </c>
      <c r="D237" s="2" t="s">
        <v>722</v>
      </c>
      <c r="E237" s="2" t="s">
        <v>159</v>
      </c>
      <c r="F237" s="2" t="s">
        <v>969</v>
      </c>
      <c r="G237" s="2" t="s">
        <v>970</v>
      </c>
      <c r="H237" s="2" t="s">
        <v>971</v>
      </c>
      <c r="I237" s="2" t="s">
        <v>972</v>
      </c>
      <c r="J237" s="2" t="s">
        <v>973</v>
      </c>
      <c r="K237" s="2" t="s">
        <v>186</v>
      </c>
      <c r="L237" s="3"/>
      <c r="M237" s="3"/>
      <c r="N237" s="3"/>
    </row>
    <row r="238" customFormat="false" ht="39.55" hidden="false" customHeight="false" outlineLevel="0" collapsed="false">
      <c r="A238" s="2" t="s">
        <v>974</v>
      </c>
      <c r="B238" s="2" t="s">
        <v>720</v>
      </c>
      <c r="C238" s="2" t="s">
        <v>721</v>
      </c>
      <c r="D238" s="2" t="s">
        <v>722</v>
      </c>
      <c r="E238" s="2" t="s">
        <v>159</v>
      </c>
      <c r="F238" s="2" t="s">
        <v>975</v>
      </c>
      <c r="G238" s="2" t="s">
        <v>976</v>
      </c>
      <c r="H238" s="2" t="s">
        <v>977</v>
      </c>
      <c r="I238" s="2" t="s">
        <v>978</v>
      </c>
      <c r="J238" s="2" t="s">
        <v>979</v>
      </c>
      <c r="K238" s="2" t="s">
        <v>186</v>
      </c>
      <c r="L238" s="3"/>
      <c r="M238" s="3"/>
      <c r="N238" s="3"/>
    </row>
    <row r="239" customFormat="false" ht="39.55" hidden="false" customHeight="false" outlineLevel="0" collapsed="false">
      <c r="A239" s="2" t="s">
        <v>980</v>
      </c>
      <c r="B239" s="2" t="s">
        <v>720</v>
      </c>
      <c r="C239" s="2" t="s">
        <v>721</v>
      </c>
      <c r="D239" s="2" t="s">
        <v>722</v>
      </c>
      <c r="E239" s="2" t="s">
        <v>159</v>
      </c>
      <c r="F239" s="2" t="s">
        <v>981</v>
      </c>
      <c r="G239" s="2" t="s">
        <v>982</v>
      </c>
      <c r="H239" s="2" t="s">
        <v>983</v>
      </c>
      <c r="I239" s="2" t="s">
        <v>984</v>
      </c>
      <c r="J239" s="2" t="s">
        <v>985</v>
      </c>
      <c r="K239" s="2" t="s">
        <v>186</v>
      </c>
      <c r="L239" s="3"/>
      <c r="M239" s="3"/>
      <c r="N239" s="3"/>
    </row>
    <row r="240" customFormat="false" ht="39.55" hidden="false" customHeight="false" outlineLevel="0" collapsed="false">
      <c r="A240" s="2" t="s">
        <v>986</v>
      </c>
      <c r="B240" s="2" t="s">
        <v>720</v>
      </c>
      <c r="C240" s="2" t="s">
        <v>721</v>
      </c>
      <c r="D240" s="2" t="s">
        <v>722</v>
      </c>
      <c r="E240" s="2" t="s">
        <v>159</v>
      </c>
      <c r="F240" s="2" t="s">
        <v>987</v>
      </c>
      <c r="G240" s="2" t="s">
        <v>988</v>
      </c>
      <c r="H240" s="2" t="s">
        <v>989</v>
      </c>
      <c r="I240" s="2" t="s">
        <v>990</v>
      </c>
      <c r="J240" s="2" t="s">
        <v>991</v>
      </c>
      <c r="K240" s="2" t="s">
        <v>186</v>
      </c>
      <c r="L240" s="3"/>
      <c r="M240" s="3"/>
      <c r="N240" s="3"/>
    </row>
    <row r="241" customFormat="false" ht="39.55" hidden="false" customHeight="false" outlineLevel="0" collapsed="false">
      <c r="A241" s="2" t="s">
        <v>992</v>
      </c>
      <c r="B241" s="2" t="s">
        <v>720</v>
      </c>
      <c r="C241" s="2" t="s">
        <v>721</v>
      </c>
      <c r="D241" s="2" t="s">
        <v>722</v>
      </c>
      <c r="E241" s="2" t="s">
        <v>159</v>
      </c>
      <c r="F241" s="2" t="s">
        <v>993</v>
      </c>
      <c r="G241" s="2" t="s">
        <v>994</v>
      </c>
      <c r="H241" s="2" t="s">
        <v>995</v>
      </c>
      <c r="I241" s="2" t="s">
        <v>996</v>
      </c>
      <c r="J241" s="2" t="s">
        <v>997</v>
      </c>
      <c r="K241" s="2" t="s">
        <v>186</v>
      </c>
      <c r="L241" s="3"/>
      <c r="M241" s="3"/>
      <c r="N241" s="3"/>
    </row>
    <row r="242" customFormat="false" ht="64.9" hidden="false" customHeight="false" outlineLevel="0" collapsed="false">
      <c r="A242" s="2" t="s">
        <v>998</v>
      </c>
      <c r="B242" s="2" t="s">
        <v>720</v>
      </c>
      <c r="C242" s="2" t="s">
        <v>721</v>
      </c>
      <c r="D242" s="2" t="s">
        <v>722</v>
      </c>
      <c r="E242" s="2" t="s">
        <v>159</v>
      </c>
      <c r="F242" s="2" t="s">
        <v>999</v>
      </c>
      <c r="G242" s="2" t="s">
        <v>1000</v>
      </c>
      <c r="H242" s="2" t="s">
        <v>1001</v>
      </c>
      <c r="I242" s="2" t="s">
        <v>811</v>
      </c>
      <c r="J242" s="2" t="s">
        <v>812</v>
      </c>
      <c r="K242" s="2" t="s">
        <v>100</v>
      </c>
      <c r="L242" s="3"/>
      <c r="M242" s="3"/>
      <c r="N242" s="3"/>
    </row>
    <row r="243" customFormat="false" ht="39.55" hidden="false" customHeight="false" outlineLevel="0" collapsed="false">
      <c r="A243" s="2" t="s">
        <v>1002</v>
      </c>
      <c r="B243" s="2" t="s">
        <v>720</v>
      </c>
      <c r="C243" s="2" t="s">
        <v>721</v>
      </c>
      <c r="D243" s="2" t="s">
        <v>722</v>
      </c>
      <c r="E243" s="2" t="s">
        <v>159</v>
      </c>
      <c r="F243" s="2" t="s">
        <v>1003</v>
      </c>
      <c r="G243" s="2" t="s">
        <v>1004</v>
      </c>
      <c r="H243" s="2" t="s">
        <v>1005</v>
      </c>
      <c r="I243" s="2" t="s">
        <v>1006</v>
      </c>
      <c r="J243" s="2" t="s">
        <v>1007</v>
      </c>
      <c r="K243" s="2" t="s">
        <v>186</v>
      </c>
      <c r="L243" s="3"/>
      <c r="M243" s="3"/>
      <c r="N243" s="3"/>
    </row>
    <row r="244" customFormat="false" ht="39.55" hidden="false" customHeight="false" outlineLevel="0" collapsed="false">
      <c r="A244" s="2" t="s">
        <v>1008</v>
      </c>
      <c r="B244" s="2" t="s">
        <v>720</v>
      </c>
      <c r="C244" s="2" t="s">
        <v>721</v>
      </c>
      <c r="D244" s="2" t="s">
        <v>722</v>
      </c>
      <c r="E244" s="2" t="s">
        <v>159</v>
      </c>
      <c r="F244" s="2" t="s">
        <v>1009</v>
      </c>
      <c r="G244" s="2" t="s">
        <v>1010</v>
      </c>
      <c r="H244" s="2" t="s">
        <v>1011</v>
      </c>
      <c r="I244" s="2" t="s">
        <v>1012</v>
      </c>
      <c r="J244" s="2" t="s">
        <v>1013</v>
      </c>
      <c r="K244" s="2" t="s">
        <v>186</v>
      </c>
      <c r="L244" s="3"/>
      <c r="M244" s="3"/>
      <c r="N244" s="3"/>
    </row>
    <row r="245" customFormat="false" ht="39.55" hidden="false" customHeight="false" outlineLevel="0" collapsed="false">
      <c r="A245" s="2" t="s">
        <v>1014</v>
      </c>
      <c r="B245" s="2" t="s">
        <v>720</v>
      </c>
      <c r="C245" s="2" t="s">
        <v>721</v>
      </c>
      <c r="D245" s="2" t="s">
        <v>722</v>
      </c>
      <c r="E245" s="2" t="s">
        <v>159</v>
      </c>
      <c r="F245" s="2" t="s">
        <v>1015</v>
      </c>
      <c r="G245" s="2" t="s">
        <v>1016</v>
      </c>
      <c r="H245" s="2" t="s">
        <v>162</v>
      </c>
      <c r="I245" s="2" t="s">
        <v>1017</v>
      </c>
      <c r="J245" s="2" t="s">
        <v>1018</v>
      </c>
      <c r="K245" s="2" t="s">
        <v>186</v>
      </c>
      <c r="L245" s="3"/>
      <c r="M245" s="3"/>
      <c r="N245" s="3"/>
    </row>
    <row r="246" customFormat="false" ht="39.55" hidden="false" customHeight="false" outlineLevel="0" collapsed="false">
      <c r="A246" s="2" t="s">
        <v>1019</v>
      </c>
      <c r="B246" s="2" t="s">
        <v>720</v>
      </c>
      <c r="C246" s="2" t="s">
        <v>721</v>
      </c>
      <c r="D246" s="2" t="s">
        <v>722</v>
      </c>
      <c r="E246" s="2" t="s">
        <v>159</v>
      </c>
      <c r="F246" s="2" t="s">
        <v>1020</v>
      </c>
      <c r="G246" s="2" t="s">
        <v>1021</v>
      </c>
      <c r="H246" s="2" t="s">
        <v>166</v>
      </c>
      <c r="I246" s="2" t="s">
        <v>1022</v>
      </c>
      <c r="J246" s="2" t="s">
        <v>1023</v>
      </c>
      <c r="K246" s="2" t="s">
        <v>186</v>
      </c>
      <c r="L246" s="3"/>
      <c r="M246" s="3"/>
      <c r="N246" s="3"/>
    </row>
    <row r="247" customFormat="false" ht="39.55" hidden="false" customHeight="false" outlineLevel="0" collapsed="false">
      <c r="A247" s="2" t="s">
        <v>1024</v>
      </c>
      <c r="B247" s="2" t="s">
        <v>720</v>
      </c>
      <c r="C247" s="2" t="s">
        <v>721</v>
      </c>
      <c r="D247" s="2" t="s">
        <v>722</v>
      </c>
      <c r="E247" s="2" t="s">
        <v>159</v>
      </c>
      <c r="F247" s="2" t="s">
        <v>1025</v>
      </c>
      <c r="G247" s="2" t="s">
        <v>1026</v>
      </c>
      <c r="H247" s="2" t="s">
        <v>1027</v>
      </c>
      <c r="I247" s="2" t="s">
        <v>1028</v>
      </c>
      <c r="J247" s="2" t="s">
        <v>1029</v>
      </c>
      <c r="K247" s="2" t="s">
        <v>186</v>
      </c>
      <c r="L247" s="3"/>
      <c r="M247" s="3"/>
      <c r="N247" s="3"/>
    </row>
    <row r="248" customFormat="false" ht="39.55" hidden="false" customHeight="false" outlineLevel="0" collapsed="false">
      <c r="A248" s="2" t="s">
        <v>1030</v>
      </c>
      <c r="B248" s="2" t="s">
        <v>720</v>
      </c>
      <c r="C248" s="2" t="s">
        <v>721</v>
      </c>
      <c r="D248" s="2" t="s">
        <v>722</v>
      </c>
      <c r="E248" s="2" t="s">
        <v>159</v>
      </c>
      <c r="F248" s="2" t="s">
        <v>1031</v>
      </c>
      <c r="G248" s="2" t="s">
        <v>1032</v>
      </c>
      <c r="H248" s="2" t="s">
        <v>1033</v>
      </c>
      <c r="I248" s="2" t="s">
        <v>1034</v>
      </c>
      <c r="J248" s="2" t="s">
        <v>1035</v>
      </c>
      <c r="K248" s="2" t="s">
        <v>186</v>
      </c>
      <c r="L248" s="3"/>
      <c r="M248" s="3"/>
      <c r="N248" s="3"/>
    </row>
    <row r="249" customFormat="false" ht="64.9" hidden="false" customHeight="false" outlineLevel="0" collapsed="false">
      <c r="A249" s="2" t="s">
        <v>1036</v>
      </c>
      <c r="B249" s="2" t="s">
        <v>720</v>
      </c>
      <c r="C249" s="2" t="s">
        <v>721</v>
      </c>
      <c r="D249" s="2" t="s">
        <v>722</v>
      </c>
      <c r="E249" s="2" t="s">
        <v>159</v>
      </c>
      <c r="F249" s="2" t="s">
        <v>1037</v>
      </c>
      <c r="G249" s="2" t="s">
        <v>1038</v>
      </c>
      <c r="H249" s="2" t="s">
        <v>1039</v>
      </c>
      <c r="I249" s="2" t="s">
        <v>811</v>
      </c>
      <c r="J249" s="2" t="s">
        <v>812</v>
      </c>
      <c r="K249" s="2" t="s">
        <v>100</v>
      </c>
      <c r="L249" s="3"/>
      <c r="M249" s="3"/>
      <c r="N249" s="3"/>
    </row>
    <row r="250" customFormat="false" ht="52.2" hidden="false" customHeight="false" outlineLevel="0" collapsed="false">
      <c r="A250" s="2" t="s">
        <v>1040</v>
      </c>
      <c r="B250" s="2" t="s">
        <v>720</v>
      </c>
      <c r="C250" s="2" t="s">
        <v>721</v>
      </c>
      <c r="D250" s="2" t="s">
        <v>722</v>
      </c>
      <c r="E250" s="2" t="s">
        <v>159</v>
      </c>
      <c r="F250" s="2" t="s">
        <v>1041</v>
      </c>
      <c r="G250" s="2" t="s">
        <v>1042</v>
      </c>
      <c r="H250" s="2" t="s">
        <v>1039</v>
      </c>
      <c r="I250" s="2" t="s">
        <v>1043</v>
      </c>
      <c r="J250" s="2" t="s">
        <v>812</v>
      </c>
      <c r="K250" s="2" t="s">
        <v>100</v>
      </c>
      <c r="L250" s="3"/>
      <c r="M250" s="3"/>
      <c r="N250" s="3"/>
    </row>
    <row r="251" customFormat="false" ht="39.55" hidden="false" customHeight="false" outlineLevel="0" collapsed="false">
      <c r="A251" s="2" t="s">
        <v>1044</v>
      </c>
      <c r="B251" s="2" t="s">
        <v>720</v>
      </c>
      <c r="C251" s="2" t="s">
        <v>721</v>
      </c>
      <c r="D251" s="2" t="s">
        <v>722</v>
      </c>
      <c r="E251" s="2" t="s">
        <v>159</v>
      </c>
      <c r="F251" s="2" t="s">
        <v>1045</v>
      </c>
      <c r="G251" s="2" t="s">
        <v>1046</v>
      </c>
      <c r="H251" s="2" t="s">
        <v>1047</v>
      </c>
      <c r="I251" s="2" t="s">
        <v>1048</v>
      </c>
      <c r="J251" s="2" t="s">
        <v>1049</v>
      </c>
      <c r="K251" s="2" t="s">
        <v>186</v>
      </c>
      <c r="L251" s="3"/>
      <c r="M251" s="3"/>
      <c r="N251" s="3"/>
    </row>
    <row r="252" customFormat="false" ht="39.55" hidden="false" customHeight="false" outlineLevel="0" collapsed="false">
      <c r="A252" s="2" t="s">
        <v>1050</v>
      </c>
      <c r="B252" s="2" t="s">
        <v>720</v>
      </c>
      <c r="C252" s="2" t="s">
        <v>721</v>
      </c>
      <c r="D252" s="2" t="s">
        <v>722</v>
      </c>
      <c r="E252" s="2" t="s">
        <v>159</v>
      </c>
      <c r="F252" s="2" t="s">
        <v>1051</v>
      </c>
      <c r="G252" s="2" t="s">
        <v>1052</v>
      </c>
      <c r="H252" s="2" t="s">
        <v>1053</v>
      </c>
      <c r="I252" s="2" t="s">
        <v>1054</v>
      </c>
      <c r="J252" s="2" t="s">
        <v>1055</v>
      </c>
      <c r="K252" s="2" t="s">
        <v>186</v>
      </c>
      <c r="L252" s="3"/>
      <c r="M252" s="3"/>
      <c r="N252" s="3"/>
    </row>
    <row r="253" customFormat="false" ht="39.55" hidden="false" customHeight="false" outlineLevel="0" collapsed="false">
      <c r="A253" s="2" t="s">
        <v>1056</v>
      </c>
      <c r="B253" s="2" t="s">
        <v>720</v>
      </c>
      <c r="C253" s="2" t="s">
        <v>721</v>
      </c>
      <c r="D253" s="2" t="s">
        <v>722</v>
      </c>
      <c r="E253" s="2" t="s">
        <v>159</v>
      </c>
      <c r="F253" s="2" t="s">
        <v>1057</v>
      </c>
      <c r="G253" s="2" t="s">
        <v>1058</v>
      </c>
      <c r="H253" s="2" t="s">
        <v>1059</v>
      </c>
      <c r="I253" s="2" t="s">
        <v>1060</v>
      </c>
      <c r="J253" s="2" t="s">
        <v>1061</v>
      </c>
      <c r="K253" s="2" t="s">
        <v>186</v>
      </c>
      <c r="L253" s="3"/>
      <c r="M253" s="3"/>
      <c r="N253" s="3"/>
    </row>
    <row r="254" customFormat="false" ht="39.55" hidden="false" customHeight="false" outlineLevel="0" collapsed="false">
      <c r="A254" s="2" t="s">
        <v>1062</v>
      </c>
      <c r="B254" s="2" t="s">
        <v>720</v>
      </c>
      <c r="C254" s="2" t="s">
        <v>721</v>
      </c>
      <c r="D254" s="2" t="s">
        <v>722</v>
      </c>
      <c r="E254" s="2" t="s">
        <v>159</v>
      </c>
      <c r="F254" s="2" t="s">
        <v>1063</v>
      </c>
      <c r="G254" s="2" t="s">
        <v>1064</v>
      </c>
      <c r="H254" s="2" t="s">
        <v>1065</v>
      </c>
      <c r="I254" s="2" t="s">
        <v>1066</v>
      </c>
      <c r="J254" s="2" t="s">
        <v>1067</v>
      </c>
      <c r="K254" s="2" t="s">
        <v>186</v>
      </c>
      <c r="L254" s="3"/>
      <c r="M254" s="3"/>
      <c r="N254" s="3"/>
    </row>
    <row r="255" customFormat="false" ht="39.55" hidden="false" customHeight="false" outlineLevel="0" collapsed="false">
      <c r="A255" s="2" t="s">
        <v>1068</v>
      </c>
      <c r="B255" s="2" t="s">
        <v>720</v>
      </c>
      <c r="C255" s="2" t="s">
        <v>721</v>
      </c>
      <c r="D255" s="2" t="s">
        <v>722</v>
      </c>
      <c r="E255" s="2" t="s">
        <v>159</v>
      </c>
      <c r="F255" s="2" t="s">
        <v>1069</v>
      </c>
      <c r="G255" s="2" t="s">
        <v>1070</v>
      </c>
      <c r="H255" s="2" t="s">
        <v>1071</v>
      </c>
      <c r="I255" s="2" t="s">
        <v>1072</v>
      </c>
      <c r="J255" s="2" t="s">
        <v>1073</v>
      </c>
      <c r="K255" s="2" t="s">
        <v>186</v>
      </c>
      <c r="L255" s="3"/>
      <c r="M255" s="3"/>
      <c r="N255" s="3"/>
    </row>
    <row r="256" customFormat="false" ht="39.55" hidden="false" customHeight="false" outlineLevel="0" collapsed="false">
      <c r="A256" s="2" t="s">
        <v>1074</v>
      </c>
      <c r="B256" s="2" t="s">
        <v>720</v>
      </c>
      <c r="C256" s="2" t="s">
        <v>721</v>
      </c>
      <c r="D256" s="2" t="s">
        <v>722</v>
      </c>
      <c r="E256" s="2" t="s">
        <v>159</v>
      </c>
      <c r="F256" s="2" t="s">
        <v>1075</v>
      </c>
      <c r="G256" s="2" t="s">
        <v>1076</v>
      </c>
      <c r="H256" s="2" t="s">
        <v>1077</v>
      </c>
      <c r="I256" s="2" t="s">
        <v>1078</v>
      </c>
      <c r="J256" s="2" t="s">
        <v>1079</v>
      </c>
      <c r="K256" s="2" t="s">
        <v>186</v>
      </c>
      <c r="L256" s="3"/>
      <c r="M256" s="3"/>
      <c r="N256" s="3"/>
    </row>
    <row r="257" customFormat="false" ht="39.55" hidden="false" customHeight="false" outlineLevel="0" collapsed="false">
      <c r="A257" s="2" t="s">
        <v>1080</v>
      </c>
      <c r="B257" s="2" t="s">
        <v>720</v>
      </c>
      <c r="C257" s="2" t="s">
        <v>721</v>
      </c>
      <c r="D257" s="2" t="s">
        <v>722</v>
      </c>
      <c r="E257" s="2" t="s">
        <v>159</v>
      </c>
      <c r="F257" s="2" t="s">
        <v>1081</v>
      </c>
      <c r="G257" s="2" t="s">
        <v>1082</v>
      </c>
      <c r="H257" s="2" t="s">
        <v>1083</v>
      </c>
      <c r="I257" s="2" t="s">
        <v>1084</v>
      </c>
      <c r="J257" s="2" t="s">
        <v>1085</v>
      </c>
      <c r="K257" s="2" t="s">
        <v>186</v>
      </c>
      <c r="L257" s="3"/>
      <c r="M257" s="3"/>
      <c r="N257" s="3"/>
    </row>
    <row r="258" customFormat="false" ht="39.55" hidden="false" customHeight="false" outlineLevel="0" collapsed="false">
      <c r="A258" s="2" t="s">
        <v>1086</v>
      </c>
      <c r="B258" s="2" t="s">
        <v>720</v>
      </c>
      <c r="C258" s="2" t="s">
        <v>721</v>
      </c>
      <c r="D258" s="2" t="s">
        <v>722</v>
      </c>
      <c r="E258" s="2" t="s">
        <v>159</v>
      </c>
      <c r="F258" s="2" t="s">
        <v>1087</v>
      </c>
      <c r="G258" s="2" t="s">
        <v>1088</v>
      </c>
      <c r="H258" s="2" t="s">
        <v>1089</v>
      </c>
      <c r="I258" s="2" t="s">
        <v>1090</v>
      </c>
      <c r="J258" s="2" t="s">
        <v>1091</v>
      </c>
      <c r="K258" s="2" t="s">
        <v>186</v>
      </c>
      <c r="L258" s="3"/>
      <c r="M258" s="3"/>
      <c r="N258" s="3"/>
    </row>
    <row r="259" customFormat="false" ht="26.85" hidden="false" customHeight="false" outlineLevel="0" collapsed="false">
      <c r="A259" s="2" t="s">
        <v>1092</v>
      </c>
      <c r="B259" s="2" t="s">
        <v>720</v>
      </c>
      <c r="C259" s="2" t="s">
        <v>721</v>
      </c>
      <c r="D259" s="2" t="s">
        <v>722</v>
      </c>
      <c r="E259" s="2" t="s">
        <v>159</v>
      </c>
      <c r="F259" s="2" t="s">
        <v>1093</v>
      </c>
      <c r="G259" s="2" t="s">
        <v>1094</v>
      </c>
      <c r="H259" s="2" t="s">
        <v>1095</v>
      </c>
      <c r="I259" s="2" t="s">
        <v>788</v>
      </c>
      <c r="J259" s="2" t="s">
        <v>769</v>
      </c>
      <c r="K259" s="2" t="s">
        <v>100</v>
      </c>
      <c r="L259" s="3"/>
      <c r="M259" s="3"/>
      <c r="N259" s="3"/>
    </row>
    <row r="260" customFormat="false" ht="26.85" hidden="false" customHeight="false" outlineLevel="0" collapsed="false">
      <c r="A260" s="2" t="s">
        <v>1096</v>
      </c>
      <c r="B260" s="2" t="s">
        <v>720</v>
      </c>
      <c r="C260" s="2" t="s">
        <v>721</v>
      </c>
      <c r="D260" s="2" t="s">
        <v>722</v>
      </c>
      <c r="E260" s="2" t="s">
        <v>159</v>
      </c>
      <c r="F260" s="2" t="s">
        <v>1097</v>
      </c>
      <c r="G260" s="2" t="s">
        <v>1098</v>
      </c>
      <c r="H260" s="2" t="s">
        <v>1099</v>
      </c>
      <c r="I260" s="2" t="s">
        <v>788</v>
      </c>
      <c r="J260" s="2" t="s">
        <v>769</v>
      </c>
      <c r="K260" s="2" t="s">
        <v>100</v>
      </c>
      <c r="L260" s="3"/>
      <c r="M260" s="3"/>
      <c r="N260" s="3"/>
    </row>
    <row r="261" customFormat="false" ht="26.85" hidden="false" customHeight="false" outlineLevel="0" collapsed="false">
      <c r="A261" s="2" t="s">
        <v>1100</v>
      </c>
      <c r="B261" s="2" t="s">
        <v>720</v>
      </c>
      <c r="C261" s="2" t="s">
        <v>721</v>
      </c>
      <c r="D261" s="2" t="s">
        <v>722</v>
      </c>
      <c r="E261" s="2" t="s">
        <v>159</v>
      </c>
      <c r="F261" s="2" t="s">
        <v>1101</v>
      </c>
      <c r="G261" s="2" t="s">
        <v>1102</v>
      </c>
      <c r="H261" s="2" t="s">
        <v>1103</v>
      </c>
      <c r="I261" s="2" t="s">
        <v>788</v>
      </c>
      <c r="J261" s="2" t="s">
        <v>769</v>
      </c>
      <c r="K261" s="2" t="s">
        <v>100</v>
      </c>
      <c r="L261" s="3"/>
      <c r="M261" s="3"/>
      <c r="N261" s="3"/>
    </row>
    <row r="262" customFormat="false" ht="39.55" hidden="false" customHeight="false" outlineLevel="0" collapsed="false">
      <c r="A262" s="2" t="s">
        <v>1104</v>
      </c>
      <c r="B262" s="2" t="s">
        <v>720</v>
      </c>
      <c r="C262" s="2" t="s">
        <v>721</v>
      </c>
      <c r="D262" s="2" t="s">
        <v>722</v>
      </c>
      <c r="E262" s="2" t="s">
        <v>159</v>
      </c>
      <c r="F262" s="2" t="s">
        <v>1105</v>
      </c>
      <c r="G262" s="2" t="s">
        <v>1106</v>
      </c>
      <c r="H262" s="2" t="s">
        <v>1107</v>
      </c>
      <c r="I262" s="2" t="s">
        <v>1108</v>
      </c>
      <c r="J262" s="2" t="s">
        <v>769</v>
      </c>
      <c r="K262" s="2" t="s">
        <v>100</v>
      </c>
      <c r="L262" s="3"/>
      <c r="M262" s="3"/>
      <c r="N262" s="3"/>
    </row>
    <row r="263" customFormat="false" ht="39.55" hidden="false" customHeight="false" outlineLevel="0" collapsed="false">
      <c r="A263" s="2" t="s">
        <v>1109</v>
      </c>
      <c r="B263" s="2" t="s">
        <v>720</v>
      </c>
      <c r="C263" s="2" t="s">
        <v>721</v>
      </c>
      <c r="D263" s="2" t="s">
        <v>722</v>
      </c>
      <c r="E263" s="2" t="s">
        <v>159</v>
      </c>
      <c r="F263" s="2" t="s">
        <v>1110</v>
      </c>
      <c r="G263" s="2" t="s">
        <v>1111</v>
      </c>
      <c r="H263" s="2" t="s">
        <v>1112</v>
      </c>
      <c r="I263" s="2" t="s">
        <v>1108</v>
      </c>
      <c r="J263" s="2" t="s">
        <v>769</v>
      </c>
      <c r="K263" s="2" t="s">
        <v>100</v>
      </c>
      <c r="L263" s="3"/>
      <c r="M263" s="3"/>
      <c r="N263" s="3"/>
    </row>
    <row r="264" customFormat="false" ht="39.55" hidden="false" customHeight="false" outlineLevel="0" collapsed="false">
      <c r="A264" s="2" t="s">
        <v>1113</v>
      </c>
      <c r="B264" s="2" t="s">
        <v>720</v>
      </c>
      <c r="C264" s="2" t="s">
        <v>721</v>
      </c>
      <c r="D264" s="2" t="s">
        <v>722</v>
      </c>
      <c r="E264" s="2" t="s">
        <v>159</v>
      </c>
      <c r="F264" s="2" t="s">
        <v>1114</v>
      </c>
      <c r="G264" s="2" t="s">
        <v>1115</v>
      </c>
      <c r="H264" s="2" t="s">
        <v>1116</v>
      </c>
      <c r="I264" s="2" t="s">
        <v>1108</v>
      </c>
      <c r="J264" s="2" t="s">
        <v>769</v>
      </c>
      <c r="K264" s="2" t="s">
        <v>100</v>
      </c>
      <c r="L264" s="3"/>
      <c r="M264" s="3"/>
      <c r="N264" s="3"/>
    </row>
    <row r="265" customFormat="false" ht="39.55" hidden="false" customHeight="false" outlineLevel="0" collapsed="false">
      <c r="A265" s="2" t="s">
        <v>1117</v>
      </c>
      <c r="B265" s="2" t="s">
        <v>720</v>
      </c>
      <c r="C265" s="2" t="s">
        <v>721</v>
      </c>
      <c r="D265" s="2" t="s">
        <v>722</v>
      </c>
      <c r="E265" s="2" t="s">
        <v>159</v>
      </c>
      <c r="F265" s="2" t="s">
        <v>1118</v>
      </c>
      <c r="G265" s="2" t="s">
        <v>1119</v>
      </c>
      <c r="H265" s="2" t="s">
        <v>1120</v>
      </c>
      <c r="I265" s="2" t="s">
        <v>1108</v>
      </c>
      <c r="J265" s="2" t="s">
        <v>769</v>
      </c>
      <c r="K265" s="2" t="s">
        <v>100</v>
      </c>
      <c r="L265" s="3"/>
      <c r="M265" s="3"/>
      <c r="N265" s="3"/>
    </row>
    <row r="266" customFormat="false" ht="39.55" hidden="false" customHeight="false" outlineLevel="0" collapsed="false">
      <c r="A266" s="2" t="s">
        <v>1121</v>
      </c>
      <c r="B266" s="2" t="s">
        <v>720</v>
      </c>
      <c r="C266" s="2" t="s">
        <v>721</v>
      </c>
      <c r="D266" s="2" t="s">
        <v>722</v>
      </c>
      <c r="E266" s="2" t="s">
        <v>159</v>
      </c>
      <c r="F266" s="2" t="s">
        <v>1122</v>
      </c>
      <c r="G266" s="2" t="s">
        <v>1123</v>
      </c>
      <c r="H266" s="2" t="s">
        <v>1124</v>
      </c>
      <c r="I266" s="2" t="s">
        <v>1108</v>
      </c>
      <c r="J266" s="2" t="s">
        <v>769</v>
      </c>
      <c r="K266" s="2" t="s">
        <v>100</v>
      </c>
      <c r="L266" s="3"/>
      <c r="M266" s="3"/>
      <c r="N266" s="3"/>
    </row>
    <row r="267" customFormat="false" ht="77.6" hidden="false" customHeight="false" outlineLevel="0" collapsed="false">
      <c r="A267" s="2" t="s">
        <v>1125</v>
      </c>
      <c r="B267" s="2" t="s">
        <v>720</v>
      </c>
      <c r="C267" s="2" t="s">
        <v>721</v>
      </c>
      <c r="D267" s="2" t="s">
        <v>722</v>
      </c>
      <c r="E267" s="2" t="s">
        <v>200</v>
      </c>
      <c r="F267" s="2" t="s">
        <v>1126</v>
      </c>
      <c r="G267" s="2" t="s">
        <v>1127</v>
      </c>
      <c r="H267" s="2"/>
      <c r="I267" s="2" t="s">
        <v>1128</v>
      </c>
      <c r="J267" s="2" t="s">
        <v>1129</v>
      </c>
      <c r="K267" s="2" t="s">
        <v>100</v>
      </c>
      <c r="L267" s="3"/>
      <c r="M267" s="3"/>
      <c r="N267" s="3"/>
    </row>
    <row r="268" customFormat="false" ht="64.9" hidden="false" customHeight="false" outlineLevel="0" collapsed="false">
      <c r="A268" s="2" t="s">
        <v>1130</v>
      </c>
      <c r="B268" s="2" t="s">
        <v>720</v>
      </c>
      <c r="C268" s="2" t="s">
        <v>721</v>
      </c>
      <c r="D268" s="2" t="s">
        <v>722</v>
      </c>
      <c r="E268" s="2" t="s">
        <v>200</v>
      </c>
      <c r="F268" s="2" t="s">
        <v>1131</v>
      </c>
      <c r="G268" s="2" t="s">
        <v>1132</v>
      </c>
      <c r="H268" s="2"/>
      <c r="I268" s="2" t="s">
        <v>1133</v>
      </c>
      <c r="J268" s="2" t="s">
        <v>1129</v>
      </c>
      <c r="K268" s="2" t="s">
        <v>100</v>
      </c>
      <c r="L268" s="3"/>
      <c r="M268" s="3"/>
      <c r="N268" s="3"/>
    </row>
    <row r="269" customFormat="false" ht="64.9" hidden="false" customHeight="false" outlineLevel="0" collapsed="false">
      <c r="A269" s="2" t="s">
        <v>1134</v>
      </c>
      <c r="B269" s="2" t="s">
        <v>720</v>
      </c>
      <c r="C269" s="2" t="s">
        <v>721</v>
      </c>
      <c r="D269" s="2" t="s">
        <v>722</v>
      </c>
      <c r="E269" s="2" t="s">
        <v>200</v>
      </c>
      <c r="F269" s="2" t="s">
        <v>1135</v>
      </c>
      <c r="G269" s="2" t="s">
        <v>1132</v>
      </c>
      <c r="H269" s="2"/>
      <c r="I269" s="2" t="s">
        <v>1133</v>
      </c>
      <c r="J269" s="2" t="s">
        <v>1129</v>
      </c>
      <c r="K269" s="2" t="s">
        <v>100</v>
      </c>
      <c r="L269" s="3"/>
      <c r="M269" s="3"/>
      <c r="N269" s="3"/>
    </row>
    <row r="270" customFormat="false" ht="64.9" hidden="false" customHeight="false" outlineLevel="0" collapsed="false">
      <c r="A270" s="2" t="s">
        <v>1136</v>
      </c>
      <c r="B270" s="2" t="s">
        <v>720</v>
      </c>
      <c r="C270" s="2" t="s">
        <v>721</v>
      </c>
      <c r="D270" s="2" t="s">
        <v>722</v>
      </c>
      <c r="E270" s="2" t="s">
        <v>200</v>
      </c>
      <c r="F270" s="2" t="s">
        <v>1137</v>
      </c>
      <c r="G270" s="2" t="s">
        <v>1132</v>
      </c>
      <c r="H270" s="2"/>
      <c r="I270" s="2" t="s">
        <v>1133</v>
      </c>
      <c r="J270" s="2" t="s">
        <v>1129</v>
      </c>
      <c r="K270" s="2" t="s">
        <v>100</v>
      </c>
      <c r="L270" s="3"/>
      <c r="M270" s="3"/>
      <c r="N270" s="3"/>
    </row>
    <row r="271" customFormat="false" ht="64.9" hidden="false" customHeight="false" outlineLevel="0" collapsed="false">
      <c r="A271" s="2" t="s">
        <v>1138</v>
      </c>
      <c r="B271" s="2" t="s">
        <v>720</v>
      </c>
      <c r="C271" s="2" t="s">
        <v>721</v>
      </c>
      <c r="D271" s="2" t="s">
        <v>722</v>
      </c>
      <c r="E271" s="2" t="s">
        <v>200</v>
      </c>
      <c r="F271" s="2" t="s">
        <v>1139</v>
      </c>
      <c r="G271" s="2" t="s">
        <v>1132</v>
      </c>
      <c r="H271" s="2"/>
      <c r="I271" s="2" t="s">
        <v>1133</v>
      </c>
      <c r="J271" s="2" t="s">
        <v>1129</v>
      </c>
      <c r="K271" s="2" t="s">
        <v>100</v>
      </c>
      <c r="L271" s="3"/>
      <c r="M271" s="3"/>
      <c r="N271" s="3"/>
    </row>
    <row r="272" customFormat="false" ht="64.9" hidden="false" customHeight="false" outlineLevel="0" collapsed="false">
      <c r="A272" s="2" t="s">
        <v>1140</v>
      </c>
      <c r="B272" s="2" t="s">
        <v>720</v>
      </c>
      <c r="C272" s="2" t="s">
        <v>721</v>
      </c>
      <c r="D272" s="2" t="s">
        <v>722</v>
      </c>
      <c r="E272" s="2" t="s">
        <v>210</v>
      </c>
      <c r="F272" s="2" t="s">
        <v>1141</v>
      </c>
      <c r="G272" s="2" t="s">
        <v>1142</v>
      </c>
      <c r="H272" s="2" t="s">
        <v>1143</v>
      </c>
      <c r="I272" s="2" t="s">
        <v>1144</v>
      </c>
      <c r="J272" s="2" t="s">
        <v>507</v>
      </c>
      <c r="K272" s="2" t="s">
        <v>100</v>
      </c>
      <c r="L272" s="3"/>
      <c r="M272" s="3"/>
      <c r="N272" s="3"/>
    </row>
    <row r="273" customFormat="false" ht="52.2" hidden="false" customHeight="false" outlineLevel="0" collapsed="false">
      <c r="A273" s="2" t="s">
        <v>1145</v>
      </c>
      <c r="B273" s="2" t="s">
        <v>720</v>
      </c>
      <c r="C273" s="2" t="s">
        <v>721</v>
      </c>
      <c r="D273" s="2" t="s">
        <v>722</v>
      </c>
      <c r="E273" s="2" t="s">
        <v>210</v>
      </c>
      <c r="F273" s="2" t="s">
        <v>1146</v>
      </c>
      <c r="G273" s="2" t="s">
        <v>1147</v>
      </c>
      <c r="H273" s="2" t="s">
        <v>1148</v>
      </c>
      <c r="I273" s="2" t="s">
        <v>728</v>
      </c>
      <c r="J273" s="2" t="s">
        <v>729</v>
      </c>
      <c r="K273" s="2" t="s">
        <v>100</v>
      </c>
      <c r="L273" s="3"/>
      <c r="M273" s="3"/>
      <c r="N273" s="3"/>
    </row>
    <row r="274" customFormat="false" ht="39.55" hidden="false" customHeight="false" outlineLevel="0" collapsed="false">
      <c r="A274" s="2" t="s">
        <v>1149</v>
      </c>
      <c r="B274" s="2" t="s">
        <v>720</v>
      </c>
      <c r="C274" s="2" t="s">
        <v>721</v>
      </c>
      <c r="D274" s="2" t="s">
        <v>722</v>
      </c>
      <c r="E274" s="2" t="s">
        <v>210</v>
      </c>
      <c r="F274" s="2" t="s">
        <v>1150</v>
      </c>
      <c r="G274" s="2" t="s">
        <v>1151</v>
      </c>
      <c r="H274" s="2" t="s">
        <v>1152</v>
      </c>
      <c r="I274" s="2" t="s">
        <v>1133</v>
      </c>
      <c r="J274" s="2" t="s">
        <v>1129</v>
      </c>
      <c r="K274" s="2" t="s">
        <v>100</v>
      </c>
      <c r="L274" s="3"/>
      <c r="M274" s="3"/>
      <c r="N274" s="3"/>
    </row>
    <row r="275" customFormat="false" ht="52.2" hidden="false" customHeight="false" outlineLevel="0" collapsed="false">
      <c r="A275" s="2" t="s">
        <v>1153</v>
      </c>
      <c r="B275" s="2" t="s">
        <v>720</v>
      </c>
      <c r="C275" s="2" t="s">
        <v>721</v>
      </c>
      <c r="D275" s="2" t="s">
        <v>722</v>
      </c>
      <c r="E275" s="2" t="s">
        <v>210</v>
      </c>
      <c r="F275" s="2" t="s">
        <v>1154</v>
      </c>
      <c r="G275" s="2" t="s">
        <v>1151</v>
      </c>
      <c r="H275" s="2" t="s">
        <v>1155</v>
      </c>
      <c r="I275" s="2" t="s">
        <v>883</v>
      </c>
      <c r="J275" s="2" t="s">
        <v>884</v>
      </c>
      <c r="K275" s="2" t="s">
        <v>100</v>
      </c>
      <c r="L275" s="3"/>
      <c r="M275" s="3"/>
      <c r="N275" s="3"/>
    </row>
    <row r="276" customFormat="false" ht="52.2" hidden="false" customHeight="false" outlineLevel="0" collapsed="false">
      <c r="A276" s="2" t="s">
        <v>1156</v>
      </c>
      <c r="B276" s="2" t="s">
        <v>720</v>
      </c>
      <c r="C276" s="2" t="s">
        <v>721</v>
      </c>
      <c r="D276" s="2" t="s">
        <v>722</v>
      </c>
      <c r="E276" s="2" t="s">
        <v>210</v>
      </c>
      <c r="F276" s="2" t="s">
        <v>1157</v>
      </c>
      <c r="G276" s="2" t="s">
        <v>1151</v>
      </c>
      <c r="H276" s="2" t="s">
        <v>1158</v>
      </c>
      <c r="I276" s="2" t="s">
        <v>883</v>
      </c>
      <c r="J276" s="2" t="s">
        <v>884</v>
      </c>
      <c r="K276" s="2" t="s">
        <v>100</v>
      </c>
      <c r="L276" s="3"/>
      <c r="M276" s="3"/>
      <c r="N276" s="3"/>
    </row>
    <row r="277" customFormat="false" ht="39.55" hidden="false" customHeight="false" outlineLevel="0" collapsed="false">
      <c r="A277" s="2" t="s">
        <v>1159</v>
      </c>
      <c r="B277" s="2" t="s">
        <v>720</v>
      </c>
      <c r="C277" s="2" t="s">
        <v>721</v>
      </c>
      <c r="D277" s="2" t="s">
        <v>722</v>
      </c>
      <c r="E277" s="2" t="s">
        <v>210</v>
      </c>
      <c r="F277" s="2" t="s">
        <v>1160</v>
      </c>
      <c r="G277" s="2" t="s">
        <v>1151</v>
      </c>
      <c r="H277" s="2" t="s">
        <v>1161</v>
      </c>
      <c r="I277" s="2" t="s">
        <v>1133</v>
      </c>
      <c r="J277" s="2" t="s">
        <v>1129</v>
      </c>
      <c r="K277" s="2" t="s">
        <v>100</v>
      </c>
      <c r="L277" s="3"/>
      <c r="M277" s="3"/>
      <c r="N277" s="3"/>
    </row>
    <row r="278" customFormat="false" ht="52.2" hidden="false" customHeight="false" outlineLevel="0" collapsed="false">
      <c r="A278" s="2" t="s">
        <v>1162</v>
      </c>
      <c r="B278" s="2" t="s">
        <v>720</v>
      </c>
      <c r="C278" s="2" t="s">
        <v>721</v>
      </c>
      <c r="D278" s="2" t="s">
        <v>722</v>
      </c>
      <c r="E278" s="2" t="s">
        <v>219</v>
      </c>
      <c r="F278" s="2" t="s">
        <v>1163</v>
      </c>
      <c r="G278" s="2" t="s">
        <v>1164</v>
      </c>
      <c r="H278" s="2"/>
      <c r="I278" s="2" t="s">
        <v>728</v>
      </c>
      <c r="J278" s="2" t="s">
        <v>729</v>
      </c>
      <c r="K278" s="2" t="s">
        <v>100</v>
      </c>
      <c r="L278" s="3"/>
      <c r="M278" s="3"/>
      <c r="N278" s="3"/>
    </row>
    <row r="279" customFormat="false" ht="52.2" hidden="false" customHeight="false" outlineLevel="0" collapsed="false">
      <c r="A279" s="2" t="s">
        <v>1165</v>
      </c>
      <c r="B279" s="2" t="s">
        <v>720</v>
      </c>
      <c r="C279" s="2" t="s">
        <v>721</v>
      </c>
      <c r="D279" s="2" t="s">
        <v>722</v>
      </c>
      <c r="E279" s="2" t="s">
        <v>219</v>
      </c>
      <c r="F279" s="2" t="s">
        <v>1166</v>
      </c>
      <c r="G279" s="2" t="s">
        <v>1167</v>
      </c>
      <c r="H279" s="2"/>
      <c r="I279" s="2" t="s">
        <v>1168</v>
      </c>
      <c r="J279" s="2" t="s">
        <v>80</v>
      </c>
      <c r="K279" s="2" t="s">
        <v>100</v>
      </c>
      <c r="L279" s="3"/>
      <c r="M279" s="3"/>
      <c r="N279" s="3"/>
    </row>
    <row r="280" customFormat="false" ht="52.2" hidden="false" customHeight="false" outlineLevel="0" collapsed="false">
      <c r="A280" s="2" t="s">
        <v>1169</v>
      </c>
      <c r="B280" s="2" t="s">
        <v>720</v>
      </c>
      <c r="C280" s="2" t="s">
        <v>721</v>
      </c>
      <c r="D280" s="2" t="s">
        <v>722</v>
      </c>
      <c r="E280" s="2" t="s">
        <v>219</v>
      </c>
      <c r="F280" s="2" t="s">
        <v>1170</v>
      </c>
      <c r="G280" s="2" t="s">
        <v>1171</v>
      </c>
      <c r="H280" s="2"/>
      <c r="I280" s="2" t="s">
        <v>1172</v>
      </c>
      <c r="J280" s="2" t="s">
        <v>736</v>
      </c>
      <c r="K280" s="2" t="s">
        <v>100</v>
      </c>
      <c r="L280" s="3"/>
      <c r="M280" s="3"/>
      <c r="N280" s="3"/>
    </row>
    <row r="281" customFormat="false" ht="64.9" hidden="false" customHeight="false" outlineLevel="0" collapsed="false">
      <c r="A281" s="2" t="s">
        <v>1173</v>
      </c>
      <c r="B281" s="2" t="s">
        <v>720</v>
      </c>
      <c r="C281" s="2" t="s">
        <v>721</v>
      </c>
      <c r="D281" s="2" t="s">
        <v>722</v>
      </c>
      <c r="E281" s="2" t="s">
        <v>219</v>
      </c>
      <c r="F281" s="2" t="s">
        <v>1174</v>
      </c>
      <c r="G281" s="2" t="s">
        <v>1175</v>
      </c>
      <c r="H281" s="2"/>
      <c r="I281" s="2" t="s">
        <v>950</v>
      </c>
      <c r="J281" s="2" t="s">
        <v>736</v>
      </c>
      <c r="K281" s="2" t="s">
        <v>100</v>
      </c>
      <c r="L281" s="3"/>
      <c r="M281" s="3"/>
      <c r="N281" s="3"/>
    </row>
    <row r="282" customFormat="false" ht="52.2" hidden="false" customHeight="false" outlineLevel="0" collapsed="false">
      <c r="A282" s="2" t="s">
        <v>1176</v>
      </c>
      <c r="B282" s="2" t="s">
        <v>720</v>
      </c>
      <c r="C282" s="2" t="s">
        <v>721</v>
      </c>
      <c r="D282" s="2" t="s">
        <v>722</v>
      </c>
      <c r="E282" s="2" t="s">
        <v>219</v>
      </c>
      <c r="F282" s="2" t="s">
        <v>1177</v>
      </c>
      <c r="G282" s="2" t="s">
        <v>1178</v>
      </c>
      <c r="H282" s="2"/>
      <c r="I282" s="2" t="s">
        <v>1179</v>
      </c>
      <c r="J282" s="2" t="s">
        <v>736</v>
      </c>
      <c r="K282" s="2" t="s">
        <v>100</v>
      </c>
      <c r="L282" s="3"/>
      <c r="M282" s="3"/>
      <c r="N282" s="3"/>
    </row>
    <row r="283" customFormat="false" ht="77.6" hidden="false" customHeight="false" outlineLevel="0" collapsed="false">
      <c r="A283" s="2" t="s">
        <v>1180</v>
      </c>
      <c r="B283" s="2" t="s">
        <v>720</v>
      </c>
      <c r="C283" s="2" t="s">
        <v>721</v>
      </c>
      <c r="D283" s="2" t="s">
        <v>722</v>
      </c>
      <c r="E283" s="2" t="s">
        <v>219</v>
      </c>
      <c r="F283" s="2" t="s">
        <v>1181</v>
      </c>
      <c r="G283" s="2" t="s">
        <v>1182</v>
      </c>
      <c r="H283" s="2"/>
      <c r="I283" s="2" t="s">
        <v>954</v>
      </c>
      <c r="J283" s="2" t="s">
        <v>736</v>
      </c>
      <c r="K283" s="2" t="s">
        <v>100</v>
      </c>
      <c r="L283" s="3"/>
      <c r="M283" s="3"/>
      <c r="N283" s="3"/>
    </row>
    <row r="284" customFormat="false" ht="115.65" hidden="false" customHeight="false" outlineLevel="0" collapsed="false">
      <c r="A284" s="2" t="s">
        <v>1183</v>
      </c>
      <c r="B284" s="2" t="s">
        <v>720</v>
      </c>
      <c r="C284" s="2" t="s">
        <v>721</v>
      </c>
      <c r="D284" s="2" t="s">
        <v>722</v>
      </c>
      <c r="E284" s="2" t="s">
        <v>229</v>
      </c>
      <c r="F284" s="2" t="s">
        <v>229</v>
      </c>
      <c r="G284" s="2" t="s">
        <v>1184</v>
      </c>
      <c r="H284" s="2"/>
      <c r="I284" s="2" t="s">
        <v>735</v>
      </c>
      <c r="J284" s="2" t="s">
        <v>736</v>
      </c>
      <c r="K284" s="2" t="s">
        <v>81</v>
      </c>
      <c r="L284" s="3"/>
      <c r="M284" s="3"/>
      <c r="N284" s="3"/>
    </row>
    <row r="285" customFormat="false" ht="26.85" hidden="false" customHeight="false" outlineLevel="0" collapsed="false">
      <c r="A285" s="2" t="s">
        <v>1185</v>
      </c>
      <c r="B285" s="2" t="s">
        <v>1186</v>
      </c>
      <c r="C285" s="2" t="s">
        <v>721</v>
      </c>
      <c r="D285" s="2" t="s">
        <v>1187</v>
      </c>
      <c r="E285" s="2" t="s">
        <v>58</v>
      </c>
      <c r="F285" s="2" t="s">
        <v>59</v>
      </c>
      <c r="G285" s="2" t="s">
        <v>60</v>
      </c>
      <c r="H285" s="2"/>
      <c r="I285" s="2"/>
      <c r="J285" s="2"/>
      <c r="K285" s="2"/>
      <c r="L285" s="3"/>
      <c r="M285" s="3"/>
      <c r="N285" s="3"/>
    </row>
    <row r="286" customFormat="false" ht="26.85" hidden="false" customHeight="false" outlineLevel="0" collapsed="false">
      <c r="A286" s="2" t="s">
        <v>1188</v>
      </c>
      <c r="B286" s="2" t="s">
        <v>1186</v>
      </c>
      <c r="C286" s="2" t="s">
        <v>721</v>
      </c>
      <c r="D286" s="2" t="s">
        <v>1187</v>
      </c>
      <c r="E286" s="2" t="s">
        <v>92</v>
      </c>
      <c r="F286" s="2" t="s">
        <v>249</v>
      </c>
      <c r="G286" s="2" t="s">
        <v>738</v>
      </c>
      <c r="H286" s="2"/>
      <c r="I286" s="2"/>
      <c r="J286" s="2"/>
      <c r="K286" s="2"/>
      <c r="L286" s="3"/>
      <c r="M286" s="3"/>
      <c r="N286" s="3"/>
    </row>
    <row r="287" customFormat="false" ht="128.35" hidden="false" customHeight="false" outlineLevel="0" collapsed="false">
      <c r="A287" s="2" t="s">
        <v>1189</v>
      </c>
      <c r="B287" s="2" t="s">
        <v>1186</v>
      </c>
      <c r="C287" s="2" t="s">
        <v>721</v>
      </c>
      <c r="D287" s="2" t="s">
        <v>1187</v>
      </c>
      <c r="E287" s="2" t="s">
        <v>92</v>
      </c>
      <c r="F287" s="2" t="s">
        <v>93</v>
      </c>
      <c r="G287" s="2" t="s">
        <v>1190</v>
      </c>
      <c r="H287" s="2"/>
      <c r="I287" s="2"/>
      <c r="J287" s="2"/>
      <c r="K287" s="2"/>
      <c r="L287" s="3"/>
      <c r="M287" s="3"/>
      <c r="N287" s="3"/>
    </row>
    <row r="288" customFormat="false" ht="39.55" hidden="false" customHeight="false" outlineLevel="0" collapsed="false">
      <c r="A288" s="2" t="s">
        <v>1191</v>
      </c>
      <c r="B288" s="2" t="s">
        <v>1186</v>
      </c>
      <c r="C288" s="2" t="s">
        <v>721</v>
      </c>
      <c r="D288" s="2" t="s">
        <v>1187</v>
      </c>
      <c r="E288" s="2" t="s">
        <v>96</v>
      </c>
      <c r="F288" s="2" t="s">
        <v>742</v>
      </c>
      <c r="G288" s="2" t="s">
        <v>1192</v>
      </c>
      <c r="H288" s="2" t="s">
        <v>744</v>
      </c>
      <c r="I288" s="2" t="s">
        <v>1193</v>
      </c>
      <c r="J288" s="2" t="s">
        <v>1194</v>
      </c>
      <c r="K288" s="2" t="s">
        <v>100</v>
      </c>
      <c r="L288" s="3"/>
      <c r="M288" s="3"/>
      <c r="N288" s="3"/>
    </row>
    <row r="289" customFormat="false" ht="39.55" hidden="false" customHeight="false" outlineLevel="0" collapsed="false">
      <c r="A289" s="2" t="s">
        <v>1195</v>
      </c>
      <c r="B289" s="2" t="s">
        <v>1186</v>
      </c>
      <c r="C289" s="2" t="s">
        <v>721</v>
      </c>
      <c r="D289" s="2" t="s">
        <v>1187</v>
      </c>
      <c r="E289" s="2" t="s">
        <v>96</v>
      </c>
      <c r="F289" s="2" t="s">
        <v>758</v>
      </c>
      <c r="G289" s="2" t="s">
        <v>1196</v>
      </c>
      <c r="H289" s="2" t="s">
        <v>760</v>
      </c>
      <c r="I289" s="2" t="s">
        <v>1193</v>
      </c>
      <c r="J289" s="2" t="s">
        <v>1194</v>
      </c>
      <c r="K289" s="2" t="s">
        <v>100</v>
      </c>
      <c r="L289" s="3"/>
      <c r="M289" s="3"/>
      <c r="N289" s="3"/>
    </row>
    <row r="290" customFormat="false" ht="26.85" hidden="false" customHeight="false" outlineLevel="0" collapsed="false">
      <c r="A290" s="2" t="s">
        <v>1197</v>
      </c>
      <c r="B290" s="2" t="s">
        <v>1198</v>
      </c>
      <c r="C290" s="2" t="s">
        <v>495</v>
      </c>
      <c r="D290" s="2" t="s">
        <v>1199</v>
      </c>
      <c r="E290" s="2" t="s">
        <v>58</v>
      </c>
      <c r="F290" s="2" t="s">
        <v>59</v>
      </c>
      <c r="G290" s="2" t="s">
        <v>60</v>
      </c>
      <c r="H290" s="2"/>
      <c r="I290" s="2"/>
      <c r="J290" s="2"/>
      <c r="K290" s="2"/>
      <c r="L290" s="3"/>
      <c r="M290" s="3"/>
      <c r="N290" s="3"/>
    </row>
    <row r="291" customFormat="false" ht="26.85" hidden="false" customHeight="false" outlineLevel="0" collapsed="false">
      <c r="A291" s="2" t="s">
        <v>1200</v>
      </c>
      <c r="B291" s="2" t="s">
        <v>1198</v>
      </c>
      <c r="C291" s="2" t="s">
        <v>495</v>
      </c>
      <c r="D291" s="2" t="s">
        <v>1199</v>
      </c>
      <c r="E291" s="2" t="s">
        <v>58</v>
      </c>
      <c r="F291" s="2" t="s">
        <v>62</v>
      </c>
      <c r="G291" s="2" t="s">
        <v>63</v>
      </c>
      <c r="H291" s="2"/>
      <c r="I291" s="2"/>
      <c r="J291" s="2"/>
      <c r="K291" s="2"/>
      <c r="L291" s="3"/>
      <c r="M291" s="3"/>
      <c r="N291" s="3"/>
    </row>
    <row r="292" customFormat="false" ht="26.85" hidden="false" customHeight="false" outlineLevel="0" collapsed="false">
      <c r="A292" s="2" t="s">
        <v>1201</v>
      </c>
      <c r="B292" s="2" t="s">
        <v>1198</v>
      </c>
      <c r="C292" s="2" t="s">
        <v>495</v>
      </c>
      <c r="D292" s="2" t="s">
        <v>1199</v>
      </c>
      <c r="E292" s="2" t="s">
        <v>58</v>
      </c>
      <c r="F292" s="2" t="s">
        <v>68</v>
      </c>
      <c r="G292" s="2" t="s">
        <v>499</v>
      </c>
      <c r="H292" s="2"/>
      <c r="I292" s="2"/>
      <c r="J292" s="2"/>
      <c r="K292" s="2"/>
      <c r="L292" s="3"/>
      <c r="M292" s="3"/>
      <c r="N292" s="3"/>
    </row>
    <row r="293" customFormat="false" ht="64.9" hidden="false" customHeight="false" outlineLevel="0" collapsed="false">
      <c r="A293" s="2" t="s">
        <v>1202</v>
      </c>
      <c r="B293" s="2" t="s">
        <v>1198</v>
      </c>
      <c r="C293" s="2" t="s">
        <v>495</v>
      </c>
      <c r="D293" s="2" t="s">
        <v>1199</v>
      </c>
      <c r="E293" s="2" t="s">
        <v>58</v>
      </c>
      <c r="F293" s="2" t="s">
        <v>87</v>
      </c>
      <c r="G293" s="2" t="s">
        <v>1203</v>
      </c>
      <c r="H293" s="2"/>
      <c r="I293" s="2" t="s">
        <v>506</v>
      </c>
      <c r="J293" s="2" t="s">
        <v>507</v>
      </c>
      <c r="K293" s="2" t="s">
        <v>81</v>
      </c>
      <c r="L293" s="3"/>
      <c r="M293" s="3"/>
      <c r="N293" s="3"/>
    </row>
    <row r="294" customFormat="false" ht="26.85" hidden="false" customHeight="false" outlineLevel="0" collapsed="false">
      <c r="A294" s="2" t="s">
        <v>1204</v>
      </c>
      <c r="B294" s="2" t="s">
        <v>1198</v>
      </c>
      <c r="C294" s="2" t="s">
        <v>495</v>
      </c>
      <c r="D294" s="2" t="s">
        <v>1199</v>
      </c>
      <c r="E294" s="2" t="s">
        <v>92</v>
      </c>
      <c r="F294" s="2" t="s">
        <v>249</v>
      </c>
      <c r="G294" s="2" t="s">
        <v>250</v>
      </c>
      <c r="H294" s="2"/>
      <c r="I294" s="2"/>
      <c r="J294" s="2"/>
      <c r="K294" s="2"/>
      <c r="L294" s="3"/>
      <c r="M294" s="3"/>
      <c r="N294" s="3"/>
    </row>
    <row r="295" customFormat="false" ht="115.65" hidden="false" customHeight="false" outlineLevel="0" collapsed="false">
      <c r="A295" s="2" t="s">
        <v>1205</v>
      </c>
      <c r="B295" s="2" t="s">
        <v>1198</v>
      </c>
      <c r="C295" s="2" t="s">
        <v>495</v>
      </c>
      <c r="D295" s="2" t="s">
        <v>1199</v>
      </c>
      <c r="E295" s="2" t="s">
        <v>92</v>
      </c>
      <c r="F295" s="2" t="s">
        <v>93</v>
      </c>
      <c r="G295" s="2" t="s">
        <v>510</v>
      </c>
      <c r="H295" s="2"/>
      <c r="I295" s="2"/>
      <c r="J295" s="2"/>
      <c r="K295" s="2"/>
      <c r="L295" s="3"/>
      <c r="M295" s="3"/>
      <c r="N295" s="3"/>
    </row>
    <row r="296" customFormat="false" ht="39.55" hidden="false" customHeight="false" outlineLevel="0" collapsed="false">
      <c r="A296" s="2" t="s">
        <v>1206</v>
      </c>
      <c r="B296" s="2" t="s">
        <v>1198</v>
      </c>
      <c r="C296" s="2" t="s">
        <v>495</v>
      </c>
      <c r="D296" s="2" t="s">
        <v>1199</v>
      </c>
      <c r="E296" s="2" t="s">
        <v>96</v>
      </c>
      <c r="F296" s="2" t="s">
        <v>1207</v>
      </c>
      <c r="G296" s="2" t="s">
        <v>1208</v>
      </c>
      <c r="H296" s="2"/>
      <c r="I296" s="2" t="s">
        <v>1209</v>
      </c>
      <c r="J296" s="2" t="s">
        <v>503</v>
      </c>
      <c r="K296" s="2" t="s">
        <v>100</v>
      </c>
      <c r="L296" s="3"/>
      <c r="M296" s="3"/>
      <c r="N296" s="3"/>
    </row>
    <row r="297" customFormat="false" ht="39.55" hidden="false" customHeight="false" outlineLevel="0" collapsed="false">
      <c r="A297" s="2" t="s">
        <v>1210</v>
      </c>
      <c r="B297" s="2" t="s">
        <v>1198</v>
      </c>
      <c r="C297" s="2" t="s">
        <v>495</v>
      </c>
      <c r="D297" s="2" t="s">
        <v>1199</v>
      </c>
      <c r="E297" s="2" t="s">
        <v>159</v>
      </c>
      <c r="F297" s="2" t="s">
        <v>1211</v>
      </c>
      <c r="G297" s="2" t="s">
        <v>1212</v>
      </c>
      <c r="H297" s="2" t="s">
        <v>1213</v>
      </c>
      <c r="I297" s="2" t="s">
        <v>1209</v>
      </c>
      <c r="J297" s="2" t="s">
        <v>503</v>
      </c>
      <c r="K297" s="2" t="s">
        <v>100</v>
      </c>
      <c r="L297" s="3"/>
      <c r="M297" s="3"/>
      <c r="N297" s="3"/>
    </row>
    <row r="298" customFormat="false" ht="39.55" hidden="false" customHeight="false" outlineLevel="0" collapsed="false">
      <c r="A298" s="2" t="s">
        <v>1214</v>
      </c>
      <c r="B298" s="2" t="s">
        <v>1198</v>
      </c>
      <c r="C298" s="2" t="s">
        <v>495</v>
      </c>
      <c r="D298" s="2" t="s">
        <v>1199</v>
      </c>
      <c r="E298" s="2" t="s">
        <v>159</v>
      </c>
      <c r="F298" s="2" t="s">
        <v>528</v>
      </c>
      <c r="G298" s="2" t="s">
        <v>1215</v>
      </c>
      <c r="H298" s="2" t="s">
        <v>530</v>
      </c>
      <c r="I298" s="2" t="s">
        <v>531</v>
      </c>
      <c r="J298" s="2" t="s">
        <v>854</v>
      </c>
      <c r="K298" s="2" t="s">
        <v>186</v>
      </c>
      <c r="L298" s="3"/>
      <c r="M298" s="3"/>
      <c r="N298" s="3"/>
    </row>
    <row r="299" customFormat="false" ht="52.2" hidden="false" customHeight="false" outlineLevel="0" collapsed="false">
      <c r="A299" s="2" t="s">
        <v>1216</v>
      </c>
      <c r="B299" s="2" t="s">
        <v>1198</v>
      </c>
      <c r="C299" s="2" t="s">
        <v>495</v>
      </c>
      <c r="D299" s="2" t="s">
        <v>1199</v>
      </c>
      <c r="E299" s="2" t="s">
        <v>159</v>
      </c>
      <c r="F299" s="2" t="s">
        <v>528</v>
      </c>
      <c r="G299" s="2" t="s">
        <v>534</v>
      </c>
      <c r="H299" s="2" t="s">
        <v>530</v>
      </c>
      <c r="I299" s="2" t="s">
        <v>531</v>
      </c>
      <c r="J299" s="2" t="s">
        <v>1217</v>
      </c>
      <c r="K299" s="2" t="s">
        <v>186</v>
      </c>
      <c r="L299" s="3"/>
      <c r="M299" s="3"/>
      <c r="N299" s="3"/>
    </row>
    <row r="300" customFormat="false" ht="39.55" hidden="false" customHeight="false" outlineLevel="0" collapsed="false">
      <c r="A300" s="2" t="s">
        <v>1218</v>
      </c>
      <c r="B300" s="2" t="s">
        <v>1198</v>
      </c>
      <c r="C300" s="2" t="s">
        <v>495</v>
      </c>
      <c r="D300" s="2" t="s">
        <v>1199</v>
      </c>
      <c r="E300" s="2" t="s">
        <v>159</v>
      </c>
      <c r="F300" s="2" t="s">
        <v>563</v>
      </c>
      <c r="G300" s="2" t="s">
        <v>1219</v>
      </c>
      <c r="H300" s="2" t="s">
        <v>565</v>
      </c>
      <c r="I300" s="2" t="s">
        <v>566</v>
      </c>
      <c r="J300" s="2" t="s">
        <v>1220</v>
      </c>
      <c r="K300" s="2" t="s">
        <v>186</v>
      </c>
      <c r="L300" s="3"/>
      <c r="M300" s="3"/>
      <c r="N300" s="3"/>
    </row>
    <row r="301" customFormat="false" ht="39.55" hidden="false" customHeight="false" outlineLevel="0" collapsed="false">
      <c r="A301" s="2" t="s">
        <v>1221</v>
      </c>
      <c r="B301" s="2" t="s">
        <v>1198</v>
      </c>
      <c r="C301" s="2" t="s">
        <v>495</v>
      </c>
      <c r="D301" s="2" t="s">
        <v>1199</v>
      </c>
      <c r="E301" s="2" t="s">
        <v>159</v>
      </c>
      <c r="F301" s="2" t="s">
        <v>563</v>
      </c>
      <c r="G301" s="2" t="s">
        <v>1222</v>
      </c>
      <c r="H301" s="2" t="s">
        <v>565</v>
      </c>
      <c r="I301" s="2" t="s">
        <v>566</v>
      </c>
      <c r="J301" s="2" t="s">
        <v>1223</v>
      </c>
      <c r="K301" s="2" t="s">
        <v>186</v>
      </c>
      <c r="L301" s="3"/>
      <c r="M301" s="3"/>
      <c r="N301" s="3"/>
    </row>
    <row r="302" customFormat="false" ht="39.55" hidden="false" customHeight="false" outlineLevel="0" collapsed="false">
      <c r="A302" s="2" t="s">
        <v>1224</v>
      </c>
      <c r="B302" s="2" t="s">
        <v>1198</v>
      </c>
      <c r="C302" s="2" t="s">
        <v>495</v>
      </c>
      <c r="D302" s="2" t="s">
        <v>1199</v>
      </c>
      <c r="E302" s="2" t="s">
        <v>159</v>
      </c>
      <c r="F302" s="2" t="s">
        <v>572</v>
      </c>
      <c r="G302" s="2" t="s">
        <v>1225</v>
      </c>
      <c r="H302" s="2" t="s">
        <v>574</v>
      </c>
      <c r="I302" s="2" t="s">
        <v>575</v>
      </c>
      <c r="J302" s="2" t="s">
        <v>1226</v>
      </c>
      <c r="K302" s="2" t="s">
        <v>186</v>
      </c>
      <c r="L302" s="3"/>
      <c r="M302" s="3"/>
      <c r="N302" s="3"/>
    </row>
    <row r="303" customFormat="false" ht="39.55" hidden="false" customHeight="false" outlineLevel="0" collapsed="false">
      <c r="A303" s="2" t="s">
        <v>1227</v>
      </c>
      <c r="B303" s="2" t="s">
        <v>1198</v>
      </c>
      <c r="C303" s="2" t="s">
        <v>495</v>
      </c>
      <c r="D303" s="2" t="s">
        <v>1199</v>
      </c>
      <c r="E303" s="2" t="s">
        <v>159</v>
      </c>
      <c r="F303" s="2" t="s">
        <v>572</v>
      </c>
      <c r="G303" s="2" t="s">
        <v>1228</v>
      </c>
      <c r="H303" s="2" t="s">
        <v>574</v>
      </c>
      <c r="I303" s="2" t="s">
        <v>575</v>
      </c>
      <c r="J303" s="2" t="s">
        <v>1229</v>
      </c>
      <c r="K303" s="2" t="s">
        <v>186</v>
      </c>
      <c r="L303" s="3"/>
      <c r="M303" s="3"/>
      <c r="N303" s="3"/>
    </row>
    <row r="304" customFormat="false" ht="39.55" hidden="false" customHeight="false" outlineLevel="0" collapsed="false">
      <c r="A304" s="2" t="s">
        <v>1230</v>
      </c>
      <c r="B304" s="2" t="s">
        <v>1198</v>
      </c>
      <c r="C304" s="2" t="s">
        <v>495</v>
      </c>
      <c r="D304" s="2" t="s">
        <v>1199</v>
      </c>
      <c r="E304" s="2" t="s">
        <v>159</v>
      </c>
      <c r="F304" s="2" t="s">
        <v>581</v>
      </c>
      <c r="G304" s="2" t="s">
        <v>1231</v>
      </c>
      <c r="H304" s="2" t="s">
        <v>583</v>
      </c>
      <c r="I304" s="2" t="s">
        <v>584</v>
      </c>
      <c r="J304" s="2" t="s">
        <v>872</v>
      </c>
      <c r="K304" s="2" t="s">
        <v>186</v>
      </c>
      <c r="L304" s="3"/>
      <c r="M304" s="3"/>
      <c r="N304" s="3"/>
    </row>
    <row r="305" customFormat="false" ht="52.2" hidden="false" customHeight="false" outlineLevel="0" collapsed="false">
      <c r="A305" s="2" t="s">
        <v>1232</v>
      </c>
      <c r="B305" s="2" t="s">
        <v>1198</v>
      </c>
      <c r="C305" s="2" t="s">
        <v>495</v>
      </c>
      <c r="D305" s="2" t="s">
        <v>1199</v>
      </c>
      <c r="E305" s="2" t="s">
        <v>159</v>
      </c>
      <c r="F305" s="2" t="s">
        <v>581</v>
      </c>
      <c r="G305" s="2" t="s">
        <v>587</v>
      </c>
      <c r="H305" s="2" t="s">
        <v>583</v>
      </c>
      <c r="I305" s="2" t="s">
        <v>584</v>
      </c>
      <c r="J305" s="2" t="s">
        <v>1233</v>
      </c>
      <c r="K305" s="2" t="s">
        <v>186</v>
      </c>
      <c r="L305" s="3"/>
      <c r="M305" s="3"/>
      <c r="N305" s="3"/>
    </row>
    <row r="306" customFormat="false" ht="39.55" hidden="false" customHeight="false" outlineLevel="0" collapsed="false">
      <c r="A306" s="2" t="s">
        <v>1234</v>
      </c>
      <c r="B306" s="2" t="s">
        <v>1198</v>
      </c>
      <c r="C306" s="2" t="s">
        <v>495</v>
      </c>
      <c r="D306" s="2" t="s">
        <v>1199</v>
      </c>
      <c r="E306" s="2" t="s">
        <v>159</v>
      </c>
      <c r="F306" s="2" t="s">
        <v>590</v>
      </c>
      <c r="G306" s="2" t="s">
        <v>1235</v>
      </c>
      <c r="H306" s="2" t="s">
        <v>592</v>
      </c>
      <c r="I306" s="2" t="s">
        <v>593</v>
      </c>
      <c r="J306" s="2" t="s">
        <v>878</v>
      </c>
      <c r="K306" s="2" t="s">
        <v>186</v>
      </c>
      <c r="L306" s="3"/>
      <c r="M306" s="3"/>
      <c r="N306" s="3"/>
    </row>
    <row r="307" customFormat="false" ht="52.2" hidden="false" customHeight="false" outlineLevel="0" collapsed="false">
      <c r="A307" s="2" t="s">
        <v>1236</v>
      </c>
      <c r="B307" s="2" t="s">
        <v>1198</v>
      </c>
      <c r="C307" s="2" t="s">
        <v>495</v>
      </c>
      <c r="D307" s="2" t="s">
        <v>1199</v>
      </c>
      <c r="E307" s="2" t="s">
        <v>159</v>
      </c>
      <c r="F307" s="2" t="s">
        <v>590</v>
      </c>
      <c r="G307" s="2" t="s">
        <v>596</v>
      </c>
      <c r="H307" s="2" t="s">
        <v>592</v>
      </c>
      <c r="I307" s="2" t="s">
        <v>593</v>
      </c>
      <c r="J307" s="2" t="s">
        <v>1237</v>
      </c>
      <c r="K307" s="2" t="s">
        <v>186</v>
      </c>
      <c r="L307" s="3"/>
      <c r="M307" s="3"/>
      <c r="N307" s="3"/>
    </row>
    <row r="308" customFormat="false" ht="39.55" hidden="false" customHeight="false" outlineLevel="0" collapsed="false">
      <c r="A308" s="2" t="s">
        <v>1238</v>
      </c>
      <c r="B308" s="2" t="s">
        <v>1198</v>
      </c>
      <c r="C308" s="2" t="s">
        <v>495</v>
      </c>
      <c r="D308" s="2" t="s">
        <v>1199</v>
      </c>
      <c r="E308" s="2" t="s">
        <v>159</v>
      </c>
      <c r="F308" s="2" t="s">
        <v>599</v>
      </c>
      <c r="G308" s="2" t="s">
        <v>600</v>
      </c>
      <c r="H308" s="2" t="s">
        <v>601</v>
      </c>
      <c r="I308" s="2" t="s">
        <v>602</v>
      </c>
      <c r="J308" s="2" t="s">
        <v>889</v>
      </c>
      <c r="K308" s="2" t="s">
        <v>186</v>
      </c>
      <c r="L308" s="3"/>
      <c r="M308" s="3"/>
      <c r="N308" s="3"/>
    </row>
    <row r="309" customFormat="false" ht="52.2" hidden="false" customHeight="false" outlineLevel="0" collapsed="false">
      <c r="A309" s="2" t="s">
        <v>1239</v>
      </c>
      <c r="B309" s="2" t="s">
        <v>1198</v>
      </c>
      <c r="C309" s="2" t="s">
        <v>495</v>
      </c>
      <c r="D309" s="2" t="s">
        <v>1199</v>
      </c>
      <c r="E309" s="2" t="s">
        <v>159</v>
      </c>
      <c r="F309" s="2" t="s">
        <v>599</v>
      </c>
      <c r="G309" s="2" t="s">
        <v>596</v>
      </c>
      <c r="H309" s="2" t="s">
        <v>601</v>
      </c>
      <c r="I309" s="2" t="s">
        <v>602</v>
      </c>
      <c r="J309" s="2" t="s">
        <v>1240</v>
      </c>
      <c r="K309" s="2" t="s">
        <v>186</v>
      </c>
      <c r="L309" s="3"/>
      <c r="M309" s="3"/>
      <c r="N309" s="3"/>
    </row>
    <row r="310" customFormat="false" ht="39.55" hidden="false" customHeight="false" outlineLevel="0" collapsed="false">
      <c r="A310" s="2" t="s">
        <v>1241</v>
      </c>
      <c r="B310" s="2" t="s">
        <v>1198</v>
      </c>
      <c r="C310" s="2" t="s">
        <v>495</v>
      </c>
      <c r="D310" s="2" t="s">
        <v>1199</v>
      </c>
      <c r="E310" s="2" t="s">
        <v>159</v>
      </c>
      <c r="F310" s="2" t="s">
        <v>615</v>
      </c>
      <c r="G310" s="2" t="s">
        <v>1242</v>
      </c>
      <c r="H310" s="2" t="s">
        <v>617</v>
      </c>
      <c r="I310" s="2" t="s">
        <v>618</v>
      </c>
      <c r="J310" s="2" t="s">
        <v>1243</v>
      </c>
      <c r="K310" s="2" t="s">
        <v>186</v>
      </c>
      <c r="L310" s="3"/>
      <c r="M310" s="3"/>
      <c r="N310" s="3"/>
    </row>
    <row r="311" customFormat="false" ht="52.2" hidden="false" customHeight="false" outlineLevel="0" collapsed="false">
      <c r="A311" s="2" t="s">
        <v>1244</v>
      </c>
      <c r="B311" s="2" t="s">
        <v>1198</v>
      </c>
      <c r="C311" s="2" t="s">
        <v>495</v>
      </c>
      <c r="D311" s="2" t="s">
        <v>1199</v>
      </c>
      <c r="E311" s="2" t="s">
        <v>159</v>
      </c>
      <c r="F311" s="2" t="s">
        <v>615</v>
      </c>
      <c r="G311" s="2" t="s">
        <v>1245</v>
      </c>
      <c r="H311" s="2" t="s">
        <v>617</v>
      </c>
      <c r="I311" s="2" t="s">
        <v>618</v>
      </c>
      <c r="J311" s="2" t="s">
        <v>1246</v>
      </c>
      <c r="K311" s="2" t="s">
        <v>186</v>
      </c>
      <c r="L311" s="3"/>
      <c r="M311" s="3"/>
      <c r="N311" s="3"/>
    </row>
    <row r="312" customFormat="false" ht="39.55" hidden="false" customHeight="false" outlineLevel="0" collapsed="false">
      <c r="A312" s="2" t="s">
        <v>1247</v>
      </c>
      <c r="B312" s="2" t="s">
        <v>1198</v>
      </c>
      <c r="C312" s="2" t="s">
        <v>495</v>
      </c>
      <c r="D312" s="2" t="s">
        <v>1199</v>
      </c>
      <c r="E312" s="2" t="s">
        <v>159</v>
      </c>
      <c r="F312" s="2" t="s">
        <v>624</v>
      </c>
      <c r="G312" s="2" t="s">
        <v>1248</v>
      </c>
      <c r="H312" s="2" t="s">
        <v>626</v>
      </c>
      <c r="I312" s="2" t="s">
        <v>627</v>
      </c>
      <c r="J312" s="2" t="s">
        <v>905</v>
      </c>
      <c r="K312" s="2" t="s">
        <v>186</v>
      </c>
      <c r="L312" s="3"/>
      <c r="M312" s="3"/>
      <c r="N312" s="3"/>
    </row>
    <row r="313" customFormat="false" ht="52.2" hidden="false" customHeight="false" outlineLevel="0" collapsed="false">
      <c r="A313" s="2" t="s">
        <v>1249</v>
      </c>
      <c r="B313" s="2" t="s">
        <v>1198</v>
      </c>
      <c r="C313" s="2" t="s">
        <v>495</v>
      </c>
      <c r="D313" s="2" t="s">
        <v>1199</v>
      </c>
      <c r="E313" s="2" t="s">
        <v>159</v>
      </c>
      <c r="F313" s="2" t="s">
        <v>624</v>
      </c>
      <c r="G313" s="2" t="s">
        <v>630</v>
      </c>
      <c r="H313" s="2" t="s">
        <v>626</v>
      </c>
      <c r="I313" s="2" t="s">
        <v>627</v>
      </c>
      <c r="J313" s="2" t="s">
        <v>1250</v>
      </c>
      <c r="K313" s="2" t="s">
        <v>186</v>
      </c>
      <c r="L313" s="3"/>
      <c r="M313" s="3"/>
      <c r="N313" s="3"/>
    </row>
    <row r="314" customFormat="false" ht="39.55" hidden="false" customHeight="false" outlineLevel="0" collapsed="false">
      <c r="A314" s="2" t="s">
        <v>1251</v>
      </c>
      <c r="B314" s="2" t="s">
        <v>1198</v>
      </c>
      <c r="C314" s="2" t="s">
        <v>495</v>
      </c>
      <c r="D314" s="2" t="s">
        <v>1199</v>
      </c>
      <c r="E314" s="2" t="s">
        <v>159</v>
      </c>
      <c r="F314" s="2" t="s">
        <v>642</v>
      </c>
      <c r="G314" s="2" t="s">
        <v>643</v>
      </c>
      <c r="H314" s="2" t="s">
        <v>644</v>
      </c>
      <c r="I314" s="2" t="s">
        <v>645</v>
      </c>
      <c r="J314" s="2" t="s">
        <v>1252</v>
      </c>
      <c r="K314" s="2" t="s">
        <v>186</v>
      </c>
      <c r="L314" s="3"/>
      <c r="M314" s="3"/>
      <c r="N314" s="3"/>
    </row>
    <row r="315" customFormat="false" ht="52.2" hidden="false" customHeight="false" outlineLevel="0" collapsed="false">
      <c r="A315" s="2" t="s">
        <v>1253</v>
      </c>
      <c r="B315" s="2" t="s">
        <v>1198</v>
      </c>
      <c r="C315" s="2" t="s">
        <v>495</v>
      </c>
      <c r="D315" s="2" t="s">
        <v>1199</v>
      </c>
      <c r="E315" s="2" t="s">
        <v>159</v>
      </c>
      <c r="F315" s="2" t="s">
        <v>642</v>
      </c>
      <c r="G315" s="2" t="s">
        <v>647</v>
      </c>
      <c r="H315" s="2" t="s">
        <v>644</v>
      </c>
      <c r="I315" s="2" t="s">
        <v>645</v>
      </c>
      <c r="J315" s="2" t="s">
        <v>1254</v>
      </c>
      <c r="K315" s="2" t="s">
        <v>186</v>
      </c>
      <c r="L315" s="3"/>
      <c r="M315" s="3"/>
      <c r="N315" s="3"/>
    </row>
    <row r="316" customFormat="false" ht="64.9" hidden="false" customHeight="false" outlineLevel="0" collapsed="false">
      <c r="A316" s="2" t="s">
        <v>1255</v>
      </c>
      <c r="B316" s="2" t="s">
        <v>1198</v>
      </c>
      <c r="C316" s="2" t="s">
        <v>495</v>
      </c>
      <c r="D316" s="2" t="s">
        <v>1199</v>
      </c>
      <c r="E316" s="2" t="s">
        <v>159</v>
      </c>
      <c r="F316" s="2" t="s">
        <v>1256</v>
      </c>
      <c r="G316" s="2" t="s">
        <v>651</v>
      </c>
      <c r="H316" s="2" t="s">
        <v>652</v>
      </c>
      <c r="I316" s="2" t="s">
        <v>653</v>
      </c>
      <c r="J316" s="2" t="s">
        <v>654</v>
      </c>
      <c r="K316" s="2" t="s">
        <v>100</v>
      </c>
      <c r="L316" s="3"/>
      <c r="M316" s="3"/>
      <c r="N316" s="3"/>
    </row>
    <row r="317" customFormat="false" ht="39.55" hidden="false" customHeight="false" outlineLevel="0" collapsed="false">
      <c r="A317" s="2" t="s">
        <v>1257</v>
      </c>
      <c r="B317" s="2" t="s">
        <v>1198</v>
      </c>
      <c r="C317" s="2" t="s">
        <v>495</v>
      </c>
      <c r="D317" s="2" t="s">
        <v>1199</v>
      </c>
      <c r="E317" s="2" t="s">
        <v>159</v>
      </c>
      <c r="F317" s="2" t="s">
        <v>1258</v>
      </c>
      <c r="G317" s="2" t="s">
        <v>657</v>
      </c>
      <c r="H317" s="2" t="s">
        <v>658</v>
      </c>
      <c r="I317" s="2" t="s">
        <v>659</v>
      </c>
      <c r="J317" s="2" t="s">
        <v>654</v>
      </c>
      <c r="K317" s="2" t="s">
        <v>100</v>
      </c>
      <c r="L317" s="3"/>
      <c r="M317" s="3"/>
      <c r="N317" s="3"/>
    </row>
    <row r="318" customFormat="false" ht="64.9" hidden="false" customHeight="false" outlineLevel="0" collapsed="false">
      <c r="A318" s="2" t="s">
        <v>1259</v>
      </c>
      <c r="B318" s="2" t="s">
        <v>1198</v>
      </c>
      <c r="C318" s="2" t="s">
        <v>495</v>
      </c>
      <c r="D318" s="2" t="s">
        <v>1199</v>
      </c>
      <c r="E318" s="2" t="s">
        <v>159</v>
      </c>
      <c r="F318" s="2" t="s">
        <v>1260</v>
      </c>
      <c r="G318" s="2" t="s">
        <v>662</v>
      </c>
      <c r="H318" s="2" t="s">
        <v>658</v>
      </c>
      <c r="I318" s="2" t="s">
        <v>663</v>
      </c>
      <c r="J318" s="2" t="s">
        <v>654</v>
      </c>
      <c r="K318" s="2" t="s">
        <v>100</v>
      </c>
      <c r="L318" s="3"/>
      <c r="M318" s="3"/>
      <c r="N318" s="3"/>
    </row>
    <row r="319" customFormat="false" ht="52.2" hidden="false" customHeight="false" outlineLevel="0" collapsed="false">
      <c r="A319" s="2" t="s">
        <v>1261</v>
      </c>
      <c r="B319" s="2" t="s">
        <v>1198</v>
      </c>
      <c r="C319" s="2" t="s">
        <v>495</v>
      </c>
      <c r="D319" s="2" t="s">
        <v>1199</v>
      </c>
      <c r="E319" s="2" t="s">
        <v>159</v>
      </c>
      <c r="F319" s="2" t="s">
        <v>1262</v>
      </c>
      <c r="G319" s="2" t="s">
        <v>666</v>
      </c>
      <c r="H319" s="2" t="s">
        <v>667</v>
      </c>
      <c r="I319" s="2" t="s">
        <v>668</v>
      </c>
      <c r="J319" s="2" t="s">
        <v>669</v>
      </c>
      <c r="K319" s="2" t="s">
        <v>100</v>
      </c>
      <c r="L319" s="3"/>
      <c r="M319" s="3"/>
      <c r="N319" s="3"/>
    </row>
    <row r="320" customFormat="false" ht="52.2" hidden="false" customHeight="false" outlineLevel="0" collapsed="false">
      <c r="A320" s="2" t="s">
        <v>1263</v>
      </c>
      <c r="B320" s="2" t="s">
        <v>1198</v>
      </c>
      <c r="C320" s="2" t="s">
        <v>495</v>
      </c>
      <c r="D320" s="2" t="s">
        <v>1199</v>
      </c>
      <c r="E320" s="2" t="s">
        <v>159</v>
      </c>
      <c r="F320" s="2" t="s">
        <v>1264</v>
      </c>
      <c r="G320" s="2" t="s">
        <v>672</v>
      </c>
      <c r="H320" s="2" t="s">
        <v>673</v>
      </c>
      <c r="I320" s="2" t="s">
        <v>674</v>
      </c>
      <c r="J320" s="2" t="s">
        <v>675</v>
      </c>
      <c r="K320" s="2" t="s">
        <v>100</v>
      </c>
      <c r="L320" s="3"/>
      <c r="M320" s="3"/>
      <c r="N320" s="3"/>
    </row>
    <row r="321" customFormat="false" ht="52.2" hidden="false" customHeight="false" outlineLevel="0" collapsed="false">
      <c r="A321" s="2" t="s">
        <v>1265</v>
      </c>
      <c r="B321" s="2" t="s">
        <v>1198</v>
      </c>
      <c r="C321" s="2" t="s">
        <v>495</v>
      </c>
      <c r="D321" s="2" t="s">
        <v>1199</v>
      </c>
      <c r="E321" s="2" t="s">
        <v>159</v>
      </c>
      <c r="F321" s="2" t="s">
        <v>1266</v>
      </c>
      <c r="G321" s="2" t="s">
        <v>678</v>
      </c>
      <c r="H321" s="2" t="s">
        <v>679</v>
      </c>
      <c r="I321" s="2" t="s">
        <v>680</v>
      </c>
      <c r="J321" s="2" t="s">
        <v>681</v>
      </c>
      <c r="K321" s="2" t="s">
        <v>100</v>
      </c>
      <c r="L321" s="3"/>
      <c r="M321" s="3"/>
      <c r="N321" s="3"/>
    </row>
    <row r="322" customFormat="false" ht="52.2" hidden="false" customHeight="false" outlineLevel="0" collapsed="false">
      <c r="A322" s="2" t="s">
        <v>1267</v>
      </c>
      <c r="B322" s="2" t="s">
        <v>1198</v>
      </c>
      <c r="C322" s="2" t="s">
        <v>495</v>
      </c>
      <c r="D322" s="2" t="s">
        <v>1199</v>
      </c>
      <c r="E322" s="2" t="s">
        <v>159</v>
      </c>
      <c r="F322" s="2" t="s">
        <v>1268</v>
      </c>
      <c r="G322" s="2" t="s">
        <v>1269</v>
      </c>
      <c r="H322" s="2" t="s">
        <v>652</v>
      </c>
      <c r="I322" s="2" t="s">
        <v>1270</v>
      </c>
      <c r="J322" s="2" t="s">
        <v>654</v>
      </c>
      <c r="K322" s="2" t="s">
        <v>100</v>
      </c>
      <c r="L322" s="3"/>
      <c r="M322" s="3"/>
      <c r="N322" s="3"/>
    </row>
    <row r="323" customFormat="false" ht="39.55" hidden="false" customHeight="false" outlineLevel="0" collapsed="false">
      <c r="A323" s="2" t="s">
        <v>1271</v>
      </c>
      <c r="B323" s="2" t="s">
        <v>1198</v>
      </c>
      <c r="C323" s="2" t="s">
        <v>495</v>
      </c>
      <c r="D323" s="2" t="s">
        <v>1199</v>
      </c>
      <c r="E323" s="2" t="s">
        <v>159</v>
      </c>
      <c r="F323" s="2" t="s">
        <v>1272</v>
      </c>
      <c r="G323" s="2" t="s">
        <v>1273</v>
      </c>
      <c r="H323" s="2" t="s">
        <v>689</v>
      </c>
      <c r="I323" s="2" t="s">
        <v>690</v>
      </c>
      <c r="J323" s="2" t="s">
        <v>691</v>
      </c>
      <c r="K323" s="2" t="s">
        <v>100</v>
      </c>
      <c r="L323" s="3"/>
      <c r="M323" s="3"/>
      <c r="N323" s="3"/>
    </row>
    <row r="324" customFormat="false" ht="52.2" hidden="false" customHeight="false" outlineLevel="0" collapsed="false">
      <c r="A324" s="2" t="s">
        <v>1274</v>
      </c>
      <c r="B324" s="2" t="s">
        <v>1198</v>
      </c>
      <c r="C324" s="2" t="s">
        <v>495</v>
      </c>
      <c r="D324" s="2" t="s">
        <v>1199</v>
      </c>
      <c r="E324" s="2" t="s">
        <v>159</v>
      </c>
      <c r="F324" s="2" t="s">
        <v>1275</v>
      </c>
      <c r="G324" s="2" t="s">
        <v>694</v>
      </c>
      <c r="H324" s="2" t="s">
        <v>695</v>
      </c>
      <c r="I324" s="2" t="s">
        <v>696</v>
      </c>
      <c r="J324" s="2" t="s">
        <v>697</v>
      </c>
      <c r="K324" s="2" t="s">
        <v>100</v>
      </c>
      <c r="L324" s="3"/>
      <c r="M324" s="3"/>
      <c r="N324" s="3"/>
    </row>
    <row r="325" customFormat="false" ht="26.85" hidden="false" customHeight="false" outlineLevel="0" collapsed="false">
      <c r="A325" s="2" t="s">
        <v>1276</v>
      </c>
      <c r="B325" s="2" t="s">
        <v>1198</v>
      </c>
      <c r="C325" s="2" t="s">
        <v>495</v>
      </c>
      <c r="D325" s="2" t="s">
        <v>1199</v>
      </c>
      <c r="E325" s="2" t="s">
        <v>159</v>
      </c>
      <c r="F325" s="2" t="s">
        <v>1277</v>
      </c>
      <c r="G325" s="2" t="s">
        <v>1278</v>
      </c>
      <c r="H325" s="2" t="s">
        <v>701</v>
      </c>
      <c r="I325" s="2" t="s">
        <v>702</v>
      </c>
      <c r="J325" s="2" t="s">
        <v>681</v>
      </c>
      <c r="K325" s="2" t="s">
        <v>100</v>
      </c>
      <c r="L325" s="3"/>
      <c r="M325" s="3"/>
      <c r="N325" s="3"/>
    </row>
    <row r="326" customFormat="false" ht="52.2" hidden="false" customHeight="false" outlineLevel="0" collapsed="false">
      <c r="A326" s="2" t="s">
        <v>1279</v>
      </c>
      <c r="B326" s="2" t="s">
        <v>1198</v>
      </c>
      <c r="C326" s="2" t="s">
        <v>495</v>
      </c>
      <c r="D326" s="2" t="s">
        <v>1199</v>
      </c>
      <c r="E326" s="2" t="s">
        <v>200</v>
      </c>
      <c r="F326" s="2" t="s">
        <v>704</v>
      </c>
      <c r="G326" s="2" t="s">
        <v>1280</v>
      </c>
      <c r="H326" s="2"/>
      <c r="I326" s="2" t="s">
        <v>706</v>
      </c>
      <c r="J326" s="2" t="s">
        <v>503</v>
      </c>
      <c r="K326" s="2" t="s">
        <v>100</v>
      </c>
      <c r="L326" s="3"/>
      <c r="M326" s="3"/>
      <c r="N326" s="3"/>
    </row>
    <row r="327" customFormat="false" ht="39.55" hidden="false" customHeight="false" outlineLevel="0" collapsed="false">
      <c r="A327" s="2" t="s">
        <v>1281</v>
      </c>
      <c r="B327" s="2" t="s">
        <v>1198</v>
      </c>
      <c r="C327" s="2" t="s">
        <v>495</v>
      </c>
      <c r="D327" s="2" t="s">
        <v>1199</v>
      </c>
      <c r="E327" s="2" t="s">
        <v>210</v>
      </c>
      <c r="F327" s="2" t="s">
        <v>708</v>
      </c>
      <c r="G327" s="2" t="s">
        <v>1282</v>
      </c>
      <c r="H327" s="2" t="s">
        <v>710</v>
      </c>
      <c r="I327" s="2" t="s">
        <v>1283</v>
      </c>
      <c r="J327" s="2" t="s">
        <v>80</v>
      </c>
      <c r="K327" s="2" t="s">
        <v>100</v>
      </c>
      <c r="L327" s="3"/>
      <c r="M327" s="3"/>
      <c r="N327" s="3"/>
    </row>
    <row r="328" customFormat="false" ht="77.6" hidden="false" customHeight="false" outlineLevel="0" collapsed="false">
      <c r="A328" s="2" t="s">
        <v>1284</v>
      </c>
      <c r="B328" s="2" t="s">
        <v>1198</v>
      </c>
      <c r="C328" s="2" t="s">
        <v>495</v>
      </c>
      <c r="D328" s="2" t="s">
        <v>1199</v>
      </c>
      <c r="E328" s="2" t="s">
        <v>219</v>
      </c>
      <c r="F328" s="2" t="s">
        <v>1285</v>
      </c>
      <c r="G328" s="2" t="s">
        <v>1286</v>
      </c>
      <c r="H328" s="2"/>
      <c r="I328" s="2" t="s">
        <v>1209</v>
      </c>
      <c r="J328" s="2" t="s">
        <v>503</v>
      </c>
      <c r="K328" s="2" t="s">
        <v>100</v>
      </c>
      <c r="L328" s="3"/>
      <c r="M328" s="3"/>
      <c r="N328" s="3"/>
    </row>
    <row r="329" customFormat="false" ht="64.9" hidden="false" customHeight="false" outlineLevel="0" collapsed="false">
      <c r="A329" s="2" t="s">
        <v>1287</v>
      </c>
      <c r="B329" s="2" t="s">
        <v>1198</v>
      </c>
      <c r="C329" s="2" t="s">
        <v>495</v>
      </c>
      <c r="D329" s="2" t="s">
        <v>1199</v>
      </c>
      <c r="E329" s="2" t="s">
        <v>229</v>
      </c>
      <c r="F329" s="2" t="s">
        <v>229</v>
      </c>
      <c r="G329" s="2" t="s">
        <v>1288</v>
      </c>
      <c r="H329" s="2"/>
      <c r="I329" s="2" t="s">
        <v>717</v>
      </c>
      <c r="J329" s="2" t="s">
        <v>718</v>
      </c>
      <c r="K329" s="2" t="s">
        <v>81</v>
      </c>
      <c r="L329" s="3"/>
      <c r="M329" s="3"/>
      <c r="N329" s="3"/>
    </row>
  </sheetData>
  <autoFilter ref="A1:N329"/>
  <dataValidations count="1">
    <dataValidation allowBlank="true" errorStyle="stop" operator="between" showDropDown="false" showErrorMessage="false" showInputMessage="false" sqref="L2:L329" type="list">
      <formula1>"Correct,Partly correct,Wrong value,Wrong grounding,Wrong patient,Not in paper,Unsure"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2"/>
    <col collapsed="false" customWidth="true" hidden="false" outlineLevel="0" max="4" min="4" style="0" width="40"/>
    <col collapsed="false" customWidth="true" hidden="false" outlineLevel="0" max="5" min="5" style="0" width="12"/>
    <col collapsed="false" customWidth="true" hidden="false" outlineLevel="0" max="6" min="6" style="0" width="8"/>
    <col collapsed="false" customWidth="true" hidden="false" outlineLevel="0" max="7" min="7" style="0" width="16"/>
    <col collapsed="false" customWidth="true" hidden="false" outlineLevel="0" max="8" min="8" style="0" width="12"/>
    <col collapsed="false" customWidth="true" hidden="false" outlineLevel="0" max="9" min="9" style="0" width="16"/>
    <col collapsed="false" customWidth="true" hidden="false" outlineLevel="0" max="10" min="10" style="0" width="20"/>
    <col collapsed="false" customWidth="true" hidden="false" outlineLevel="0" max="11" min="11" style="0" width="14"/>
    <col collapsed="false" customWidth="true" hidden="false" outlineLevel="0" max="12" min="12" style="0" width="50"/>
  </cols>
  <sheetData>
    <row r="1" customFormat="false" ht="26.85" hidden="false" customHeight="false" outlineLevel="0" collapsed="false">
      <c r="A1" s="6" t="s">
        <v>41</v>
      </c>
      <c r="B1" s="6" t="s">
        <v>42</v>
      </c>
      <c r="C1" s="6" t="s">
        <v>43</v>
      </c>
      <c r="D1" s="6" t="s">
        <v>1289</v>
      </c>
      <c r="E1" s="6" t="s">
        <v>1290</v>
      </c>
      <c r="F1" s="6" t="s">
        <v>1291</v>
      </c>
      <c r="G1" s="6" t="s">
        <v>1292</v>
      </c>
      <c r="H1" s="6" t="s">
        <v>1293</v>
      </c>
      <c r="I1" s="6" t="s">
        <v>1294</v>
      </c>
      <c r="J1" s="6" t="s">
        <v>1295</v>
      </c>
      <c r="K1" s="6" t="s">
        <v>1296</v>
      </c>
      <c r="L1" s="6" t="s">
        <v>53</v>
      </c>
    </row>
    <row r="2" customFormat="false" ht="26.85" hidden="false" customHeight="false" outlineLevel="0" collapsed="false">
      <c r="A2" s="2" t="s">
        <v>55</v>
      </c>
      <c r="B2" s="2" t="s">
        <v>56</v>
      </c>
      <c r="C2" s="2" t="s">
        <v>57</v>
      </c>
      <c r="D2" s="2" t="s">
        <v>1297</v>
      </c>
      <c r="E2" s="2" t="s">
        <v>1298</v>
      </c>
      <c r="F2" s="2" t="n">
        <f aca="false">COUNTIF(Facts!B2:B329,A2)</f>
        <v>46</v>
      </c>
      <c r="G2" s="3"/>
      <c r="H2" s="3"/>
      <c r="I2" s="3"/>
      <c r="J2" s="3"/>
      <c r="K2" s="3"/>
      <c r="L2" s="3"/>
    </row>
    <row r="3" customFormat="false" ht="26.85" hidden="false" customHeight="false" outlineLevel="0" collapsed="false">
      <c r="A3" s="2" t="s">
        <v>232</v>
      </c>
      <c r="B3" s="2" t="s">
        <v>233</v>
      </c>
      <c r="C3" s="2" t="s">
        <v>234</v>
      </c>
      <c r="D3" s="2" t="s">
        <v>1299</v>
      </c>
      <c r="E3" s="2" t="s">
        <v>1298</v>
      </c>
      <c r="F3" s="2" t="n">
        <f aca="false">COUNTIF(Facts!B2:B329,A3)</f>
        <v>76</v>
      </c>
      <c r="G3" s="3"/>
      <c r="H3" s="3"/>
      <c r="I3" s="3"/>
      <c r="J3" s="3"/>
      <c r="K3" s="3"/>
      <c r="L3" s="3"/>
    </row>
    <row r="4" customFormat="false" ht="26.85" hidden="false" customHeight="false" outlineLevel="0" collapsed="false">
      <c r="A4" s="2" t="s">
        <v>494</v>
      </c>
      <c r="B4" s="2" t="s">
        <v>495</v>
      </c>
      <c r="C4" s="2" t="s">
        <v>496</v>
      </c>
      <c r="D4" s="2" t="s">
        <v>1300</v>
      </c>
      <c r="E4" s="2" t="s">
        <v>1298</v>
      </c>
      <c r="F4" s="2" t="n">
        <f aca="false">COUNTIF(Facts!B2:B329,A4)</f>
        <v>53</v>
      </c>
      <c r="G4" s="3"/>
      <c r="H4" s="3"/>
      <c r="I4" s="3"/>
      <c r="J4" s="3"/>
      <c r="K4" s="3"/>
      <c r="L4" s="3"/>
    </row>
    <row r="5" customFormat="false" ht="52.2" hidden="false" customHeight="false" outlineLevel="0" collapsed="false">
      <c r="A5" s="2" t="s">
        <v>720</v>
      </c>
      <c r="B5" s="2" t="s">
        <v>721</v>
      </c>
      <c r="C5" s="2" t="s">
        <v>722</v>
      </c>
      <c r="D5" s="2" t="s">
        <v>1301</v>
      </c>
      <c r="E5" s="2" t="s">
        <v>1298</v>
      </c>
      <c r="F5" s="2" t="n">
        <f aca="false">COUNTIF(Facts!B2:B329,A5)</f>
        <v>108</v>
      </c>
      <c r="G5" s="3"/>
      <c r="H5" s="3"/>
      <c r="I5" s="3"/>
      <c r="J5" s="3"/>
      <c r="K5" s="3"/>
      <c r="L5" s="3"/>
    </row>
    <row r="6" customFormat="false" ht="26.85" hidden="false" customHeight="false" outlineLevel="0" collapsed="false">
      <c r="A6" s="2" t="s">
        <v>1186</v>
      </c>
      <c r="B6" s="2" t="s">
        <v>721</v>
      </c>
      <c r="C6" s="2" t="s">
        <v>1187</v>
      </c>
      <c r="D6" s="2"/>
      <c r="E6" s="2"/>
      <c r="F6" s="2" t="n">
        <f aca="false">COUNTIF(Facts!B2:B329,A6)</f>
        <v>5</v>
      </c>
      <c r="G6" s="3"/>
      <c r="H6" s="3"/>
      <c r="I6" s="3"/>
      <c r="J6" s="3"/>
      <c r="K6" s="3"/>
      <c r="L6" s="3"/>
    </row>
    <row r="7" customFormat="false" ht="26.85" hidden="false" customHeight="false" outlineLevel="0" collapsed="false">
      <c r="A7" s="2" t="s">
        <v>1198</v>
      </c>
      <c r="B7" s="2" t="s">
        <v>495</v>
      </c>
      <c r="C7" s="2" t="s">
        <v>1199</v>
      </c>
      <c r="D7" s="2" t="s">
        <v>1300</v>
      </c>
      <c r="E7" s="2" t="s">
        <v>1298</v>
      </c>
      <c r="F7" s="2" t="n">
        <f aca="false">COUNTIF(Facts!B2:B329,A7)</f>
        <v>40</v>
      </c>
      <c r="G7" s="3"/>
      <c r="H7" s="3"/>
      <c r="I7" s="3"/>
      <c r="J7" s="3"/>
      <c r="K7" s="3"/>
      <c r="L7" s="3"/>
    </row>
  </sheetData>
  <dataValidations count="2">
    <dataValidation allowBlank="true" errorStyle="stop" operator="between" showDropDown="false" showErrorMessage="false" showInputMessage="false" sqref="G2:J7" type="list">
      <formula1>"Yes,No,Partly"</formula1>
      <formula2>0</formula2>
    </dataValidation>
    <dataValidation allowBlank="true" errorStyle="stop" operator="between" showDropDown="false" showErrorMessage="false" showInputMessage="false" sqref="K2:K7"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60"/>
    <col collapsed="false" customWidth="true" hidden="false" outlineLevel="0" max="4" min="4" style="0" width="18"/>
    <col collapsed="false" customWidth="true" hidden="false" outlineLevel="0" max="5" min="5" style="0" width="40"/>
  </cols>
  <sheetData>
    <row r="1" customFormat="false" ht="26.85" hidden="false" customHeight="false" outlineLevel="0" collapsed="false">
      <c r="A1" s="6" t="s">
        <v>41</v>
      </c>
      <c r="B1" s="6" t="s">
        <v>44</v>
      </c>
      <c r="C1" s="6" t="s">
        <v>1302</v>
      </c>
      <c r="D1" s="6" t="s">
        <v>1303</v>
      </c>
      <c r="E1" s="6" t="s">
        <v>53</v>
      </c>
    </row>
    <row r="2" customFormat="false" ht="15" hidden="false" customHeight="false" outlineLevel="0" collapsed="false">
      <c r="A2" s="3"/>
      <c r="B2" s="3"/>
      <c r="C2" s="3"/>
      <c r="D2" s="3"/>
      <c r="E2" s="3"/>
    </row>
    <row r="3" customFormat="false" ht="15" hidden="false" customHeight="false" outlineLevel="0" collapsed="false">
      <c r="A3" s="3"/>
      <c r="B3" s="3"/>
      <c r="C3" s="3"/>
      <c r="D3" s="3"/>
      <c r="E3" s="3"/>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15" hidden="false" customHeight="false" outlineLevel="0" collapsed="false">
      <c r="A6" s="3"/>
      <c r="B6" s="3"/>
      <c r="C6" s="3"/>
      <c r="D6" s="3"/>
      <c r="E6" s="3"/>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11" customFormat="false" ht="15" hidden="false" customHeight="false" outlineLevel="0" collapsed="false">
      <c r="A11" s="3"/>
      <c r="B11" s="3"/>
      <c r="C11" s="3"/>
      <c r="D11" s="3"/>
      <c r="E11" s="3"/>
    </row>
    <row r="12" customFormat="false" ht="15" hidden="false" customHeight="false" outlineLevel="0" collapsed="false">
      <c r="A12" s="3"/>
      <c r="B12" s="3"/>
      <c r="C12" s="3"/>
      <c r="D12" s="3"/>
      <c r="E12" s="3"/>
    </row>
    <row r="13" customFormat="false" ht="15" hidden="false" customHeight="false" outlineLevel="0" collapsed="false">
      <c r="A13" s="3"/>
      <c r="B13" s="3"/>
      <c r="C13" s="3"/>
      <c r="D13" s="3"/>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row r="16" customFormat="false" ht="15" hidden="false" customHeight="false" outlineLevel="0" collapsed="false">
      <c r="A16" s="3"/>
      <c r="B16" s="3"/>
      <c r="C16" s="3"/>
      <c r="D16" s="3"/>
      <c r="E16" s="3"/>
    </row>
    <row r="17" customFormat="false" ht="15" hidden="false" customHeight="false" outlineLevel="0" collapsed="false">
      <c r="A17" s="3"/>
      <c r="B17" s="3"/>
      <c r="C17" s="3"/>
      <c r="D17" s="3"/>
      <c r="E17" s="3"/>
    </row>
    <row r="18" customFormat="false" ht="15" hidden="false" customHeight="false" outlineLevel="0" collapsed="false">
      <c r="A18" s="3"/>
      <c r="B18" s="3"/>
      <c r="C18" s="3"/>
      <c r="D18" s="3"/>
      <c r="E18" s="3"/>
    </row>
    <row r="19" customFormat="false" ht="15" hidden="false" customHeight="false" outlineLevel="0" collapsed="false">
      <c r="A19" s="3"/>
      <c r="B19" s="3"/>
      <c r="C19" s="3"/>
      <c r="D19" s="3"/>
      <c r="E19" s="3"/>
    </row>
    <row r="20" customFormat="false" ht="15" hidden="false" customHeight="false" outlineLevel="0" collapsed="false">
      <c r="A20" s="3"/>
      <c r="B20" s="3"/>
      <c r="C20" s="3"/>
      <c r="D20" s="3"/>
      <c r="E20" s="3"/>
    </row>
    <row r="21" customFormat="false" ht="15" hidden="false" customHeight="false" outlineLevel="0" collapsed="false">
      <c r="A21" s="3"/>
      <c r="B21" s="3"/>
      <c r="C21" s="3"/>
      <c r="D21" s="3"/>
      <c r="E21" s="3"/>
    </row>
    <row r="22" customFormat="false" ht="15" hidden="false" customHeight="false" outlineLevel="0" collapsed="false">
      <c r="A22" s="3"/>
      <c r="B22" s="3"/>
      <c r="C22" s="3"/>
      <c r="D22" s="3"/>
      <c r="E22" s="3"/>
    </row>
    <row r="23" customFormat="false" ht="15" hidden="false" customHeight="false" outlineLevel="0" collapsed="false">
      <c r="A23" s="3"/>
      <c r="B23" s="3"/>
      <c r="C23" s="3"/>
      <c r="D23" s="3"/>
      <c r="E23" s="3"/>
    </row>
    <row r="24" customFormat="false" ht="15" hidden="false" customHeight="false" outlineLevel="0" collapsed="false">
      <c r="A24" s="3"/>
      <c r="B24" s="3"/>
      <c r="C24" s="3"/>
      <c r="D24" s="3"/>
      <c r="E24" s="3"/>
    </row>
    <row r="25" customFormat="false" ht="15" hidden="false" customHeight="false" outlineLevel="0" collapsed="false">
      <c r="A25" s="3"/>
      <c r="B25" s="3"/>
      <c r="C25" s="3"/>
      <c r="D25" s="3"/>
      <c r="E25" s="3"/>
    </row>
    <row r="26" customFormat="false" ht="15" hidden="false" customHeight="false" outlineLevel="0" collapsed="false">
      <c r="A26" s="3"/>
      <c r="B26" s="3"/>
      <c r="C26" s="3"/>
      <c r="D26" s="3"/>
      <c r="E26" s="3"/>
    </row>
    <row r="27" customFormat="false" ht="15" hidden="false" customHeight="false" outlineLevel="0" collapsed="false">
      <c r="A27" s="3"/>
      <c r="B27" s="3"/>
      <c r="C27" s="3"/>
      <c r="D27" s="3"/>
      <c r="E27" s="3"/>
    </row>
    <row r="28" customFormat="false" ht="15" hidden="false" customHeight="false" outlineLevel="0" collapsed="false">
      <c r="A28" s="3"/>
      <c r="B28" s="3"/>
      <c r="C28" s="3"/>
      <c r="D28" s="3"/>
      <c r="E28" s="3"/>
    </row>
    <row r="29" customFormat="false" ht="15" hidden="false" customHeight="false" outlineLevel="0" collapsed="false">
      <c r="A29" s="3"/>
      <c r="B29" s="3"/>
      <c r="C29" s="3"/>
      <c r="D29" s="3"/>
      <c r="E29" s="3"/>
    </row>
    <row r="30" customFormat="false" ht="15" hidden="false" customHeight="false" outlineLevel="0" collapsed="false">
      <c r="A30" s="3"/>
      <c r="B30" s="3"/>
      <c r="C30" s="3"/>
      <c r="D30" s="3"/>
      <c r="E30" s="3"/>
    </row>
    <row r="31" customFormat="false" ht="15" hidden="false" customHeight="false" outlineLevel="0" collapsed="false">
      <c r="A31" s="3"/>
      <c r="B31" s="3"/>
      <c r="C31" s="3"/>
      <c r="D31" s="3"/>
      <c r="E31" s="3"/>
    </row>
    <row r="32" customFormat="false" ht="15" hidden="false" customHeight="false" outlineLevel="0" collapsed="false">
      <c r="A32" s="3"/>
      <c r="B32" s="3"/>
      <c r="C32" s="3"/>
      <c r="D32" s="3"/>
      <c r="E32" s="3"/>
    </row>
    <row r="33" customFormat="false" ht="15" hidden="false" customHeight="false" outlineLevel="0" collapsed="false">
      <c r="A33" s="3"/>
      <c r="B33" s="3"/>
      <c r="C33" s="3"/>
      <c r="D33" s="3"/>
      <c r="E33" s="3"/>
    </row>
    <row r="34" customFormat="false" ht="15" hidden="false" customHeight="false" outlineLevel="0" collapsed="false">
      <c r="A34" s="3"/>
      <c r="B34" s="3"/>
      <c r="C34" s="3"/>
      <c r="D34" s="3"/>
      <c r="E34" s="3"/>
    </row>
    <row r="35" customFormat="false" ht="15" hidden="false" customHeight="false" outlineLevel="0" collapsed="false">
      <c r="A35" s="3"/>
      <c r="B35" s="3"/>
      <c r="C35" s="3"/>
      <c r="D35" s="3"/>
      <c r="E35" s="3"/>
    </row>
    <row r="36" customFormat="false" ht="15" hidden="false" customHeight="false" outlineLevel="0" collapsed="false">
      <c r="A36" s="3"/>
      <c r="B36" s="3"/>
      <c r="C36" s="3"/>
      <c r="D36" s="3"/>
      <c r="E36" s="3"/>
    </row>
    <row r="37" customFormat="false" ht="15" hidden="false" customHeight="false" outlineLevel="0" collapsed="false">
      <c r="A37" s="3"/>
      <c r="B37" s="3"/>
      <c r="C37" s="3"/>
      <c r="D37" s="3"/>
      <c r="E37" s="3"/>
    </row>
    <row r="38" customFormat="false" ht="15" hidden="false" customHeight="false" outlineLevel="0" collapsed="false">
      <c r="A38" s="3"/>
      <c r="B38" s="3"/>
      <c r="C38" s="3"/>
      <c r="D38" s="3"/>
      <c r="E38" s="3"/>
    </row>
    <row r="39" customFormat="false" ht="15" hidden="false" customHeight="false" outlineLevel="0" collapsed="false">
      <c r="A39" s="3"/>
      <c r="B39" s="3"/>
      <c r="C39" s="3"/>
      <c r="D39" s="3"/>
      <c r="E39" s="3"/>
    </row>
    <row r="40" customFormat="false" ht="15" hidden="false" customHeight="false" outlineLevel="0" collapsed="false">
      <c r="A40" s="3"/>
      <c r="B40" s="3"/>
      <c r="C40" s="3"/>
      <c r="D40" s="3"/>
      <c r="E40" s="3"/>
    </row>
    <row r="41" customFormat="false" ht="15" hidden="false" customHeight="false" outlineLevel="0" collapsed="false">
      <c r="A41" s="3"/>
      <c r="B41" s="3"/>
      <c r="C41" s="3"/>
      <c r="D41" s="3"/>
      <c r="E41" s="3"/>
    </row>
    <row r="42" customFormat="false" ht="15" hidden="false" customHeight="false" outlineLevel="0" collapsed="false">
      <c r="A42" s="3"/>
      <c r="B42" s="3"/>
      <c r="C42" s="3"/>
      <c r="D42" s="3"/>
      <c r="E42" s="3"/>
    </row>
    <row r="43" customFormat="false" ht="15" hidden="false" customHeight="false" outlineLevel="0" collapsed="false">
      <c r="A43" s="3"/>
      <c r="B43" s="3"/>
      <c r="C43" s="3"/>
      <c r="D43" s="3"/>
      <c r="E43" s="3"/>
    </row>
    <row r="44" customFormat="false" ht="15" hidden="false" customHeight="false" outlineLevel="0" collapsed="false">
      <c r="A44" s="3"/>
      <c r="B44" s="3"/>
      <c r="C44" s="3"/>
      <c r="D44" s="3"/>
      <c r="E44" s="3"/>
    </row>
    <row r="45" customFormat="false" ht="15" hidden="false" customHeight="false" outlineLevel="0" collapsed="false">
      <c r="A45" s="3"/>
      <c r="B45" s="3"/>
      <c r="C45" s="3"/>
      <c r="D45" s="3"/>
      <c r="E45" s="3"/>
    </row>
    <row r="46" customFormat="false" ht="15" hidden="false" customHeight="false" outlineLevel="0" collapsed="false">
      <c r="A46" s="3"/>
      <c r="B46" s="3"/>
      <c r="C46" s="3"/>
      <c r="D46" s="3"/>
      <c r="E46" s="3"/>
    </row>
    <row r="47" customFormat="false" ht="15" hidden="false" customHeight="false" outlineLevel="0" collapsed="false">
      <c r="A47" s="3"/>
      <c r="B47" s="3"/>
      <c r="C47" s="3"/>
      <c r="D47" s="3"/>
      <c r="E47" s="3"/>
    </row>
    <row r="48" customFormat="false" ht="15" hidden="false" customHeight="false" outlineLevel="0" collapsed="false">
      <c r="A48" s="3"/>
      <c r="B48" s="3"/>
      <c r="C48" s="3"/>
      <c r="D48" s="3"/>
      <c r="E48" s="3"/>
    </row>
    <row r="49" customFormat="false" ht="15" hidden="false" customHeight="false" outlineLevel="0" collapsed="false">
      <c r="A49" s="3"/>
      <c r="B49" s="3"/>
      <c r="C49" s="3"/>
      <c r="D49" s="3"/>
      <c r="E49" s="3"/>
    </row>
    <row r="50" customFormat="false" ht="15" hidden="false" customHeight="false" outlineLevel="0" collapsed="false">
      <c r="A50" s="3"/>
      <c r="B50" s="3"/>
      <c r="C50" s="3"/>
      <c r="D50" s="3"/>
      <c r="E50" s="3"/>
    </row>
    <row r="51" customFormat="false" ht="15" hidden="false" customHeight="false" outlineLevel="0" collapsed="false">
      <c r="A51" s="3"/>
      <c r="B51" s="3"/>
      <c r="C51" s="3"/>
      <c r="D51" s="3"/>
      <c r="E51" s="3"/>
    </row>
    <row r="52" customFormat="false" ht="15" hidden="false" customHeight="false" outlineLevel="0" collapsed="false">
      <c r="A52" s="3"/>
      <c r="B52" s="3"/>
      <c r="C52" s="3"/>
      <c r="D52" s="3"/>
      <c r="E52" s="3"/>
    </row>
    <row r="53" customFormat="false" ht="15" hidden="false" customHeight="false" outlineLevel="0" collapsed="false">
      <c r="A53" s="3"/>
      <c r="B53" s="3"/>
      <c r="C53" s="3"/>
      <c r="D53" s="3"/>
      <c r="E53" s="3"/>
    </row>
    <row r="54" customFormat="false" ht="15" hidden="false" customHeight="false" outlineLevel="0" collapsed="false">
      <c r="A54" s="3"/>
      <c r="B54" s="3"/>
      <c r="C54" s="3"/>
      <c r="D54" s="3"/>
      <c r="E54" s="3"/>
    </row>
    <row r="55" customFormat="false" ht="15" hidden="false" customHeight="false" outlineLevel="0" collapsed="false">
      <c r="A55" s="3"/>
      <c r="B55" s="3"/>
      <c r="C55" s="3"/>
      <c r="D55" s="3"/>
      <c r="E55" s="3"/>
    </row>
    <row r="56" customFormat="false" ht="15" hidden="false" customHeight="false" outlineLevel="0" collapsed="false">
      <c r="A56" s="3"/>
      <c r="B56" s="3"/>
      <c r="C56" s="3"/>
      <c r="D56" s="3"/>
      <c r="E56" s="3"/>
    </row>
    <row r="57" customFormat="false" ht="15" hidden="false" customHeight="false" outlineLevel="0" collapsed="false">
      <c r="A57" s="3"/>
      <c r="B57" s="3"/>
      <c r="C57" s="3"/>
      <c r="D57" s="3"/>
      <c r="E57" s="3"/>
    </row>
    <row r="58" customFormat="false" ht="15" hidden="false" customHeight="false" outlineLevel="0" collapsed="false">
      <c r="A58" s="3"/>
      <c r="B58" s="3"/>
      <c r="C58" s="3"/>
      <c r="D58" s="3"/>
      <c r="E58" s="3"/>
    </row>
    <row r="59" customFormat="false" ht="15" hidden="false" customHeight="false" outlineLevel="0" collapsed="false">
      <c r="A59" s="3"/>
      <c r="B59" s="3"/>
      <c r="C59" s="3"/>
      <c r="D59" s="3"/>
      <c r="E59" s="3"/>
    </row>
    <row r="60" customFormat="false" ht="15" hidden="false" customHeight="false" outlineLevel="0" collapsed="false">
      <c r="A60" s="3"/>
      <c r="B60" s="3"/>
      <c r="C60" s="3"/>
      <c r="D60" s="3"/>
      <c r="E60" s="3"/>
    </row>
    <row r="61" customFormat="false" ht="15" hidden="false" customHeight="false" outlineLevel="0" collapsed="false">
      <c r="A61" s="3"/>
      <c r="B61" s="3"/>
      <c r="C61" s="3"/>
      <c r="D61" s="3"/>
      <c r="E61" s="3"/>
    </row>
    <row r="62" customFormat="false" ht="15" hidden="false" customHeight="false" outlineLevel="0" collapsed="false">
      <c r="A62" s="3"/>
      <c r="B62" s="3"/>
      <c r="C62" s="3"/>
      <c r="D62" s="3"/>
      <c r="E62" s="3"/>
    </row>
    <row r="63" customFormat="false" ht="15" hidden="false" customHeight="false" outlineLevel="0" collapsed="false">
      <c r="A63" s="3"/>
      <c r="B63" s="3"/>
      <c r="C63" s="3"/>
      <c r="D63" s="3"/>
      <c r="E63" s="3"/>
    </row>
    <row r="64" customFormat="false" ht="15" hidden="false" customHeight="false" outlineLevel="0" collapsed="false">
      <c r="A64" s="3"/>
      <c r="B64" s="3"/>
      <c r="C64" s="3"/>
      <c r="D64" s="3"/>
      <c r="E64" s="3"/>
    </row>
    <row r="65" customFormat="false" ht="15" hidden="false" customHeight="false" outlineLevel="0" collapsed="false">
      <c r="A65" s="3"/>
      <c r="B65" s="3"/>
      <c r="C65" s="3"/>
      <c r="D65" s="3"/>
      <c r="E65" s="3"/>
    </row>
    <row r="66" customFormat="false" ht="15" hidden="false" customHeight="false" outlineLevel="0" collapsed="false">
      <c r="A66" s="3"/>
      <c r="B66" s="3"/>
      <c r="C66" s="3"/>
      <c r="D66" s="3"/>
      <c r="E66" s="3"/>
    </row>
    <row r="67" customFormat="false" ht="15" hidden="false" customHeight="false" outlineLevel="0" collapsed="false">
      <c r="A67" s="3"/>
      <c r="B67" s="3"/>
      <c r="C67" s="3"/>
      <c r="D67" s="3"/>
      <c r="E67" s="3"/>
    </row>
    <row r="68" customFormat="false" ht="15" hidden="false" customHeight="false" outlineLevel="0" collapsed="false">
      <c r="A68" s="3"/>
      <c r="B68" s="3"/>
      <c r="C68" s="3"/>
      <c r="D68" s="3"/>
      <c r="E68" s="3"/>
    </row>
    <row r="69" customFormat="false" ht="15" hidden="false" customHeight="false" outlineLevel="0" collapsed="false">
      <c r="A69" s="3"/>
      <c r="B69" s="3"/>
      <c r="C69" s="3"/>
      <c r="D69" s="3"/>
      <c r="E69" s="3"/>
    </row>
    <row r="70" customFormat="false" ht="15" hidden="false" customHeight="false" outlineLevel="0" collapsed="false">
      <c r="A70" s="3"/>
      <c r="B70" s="3"/>
      <c r="C70" s="3"/>
      <c r="D70" s="3"/>
      <c r="E70" s="3"/>
    </row>
    <row r="71" customFormat="false" ht="15" hidden="false" customHeight="false" outlineLevel="0" collapsed="false">
      <c r="A71" s="3"/>
      <c r="B71" s="3"/>
      <c r="C71" s="3"/>
      <c r="D71" s="3"/>
      <c r="E71" s="3"/>
    </row>
    <row r="72" customFormat="false" ht="15" hidden="false" customHeight="false" outlineLevel="0" collapsed="false">
      <c r="A72" s="3"/>
      <c r="B72" s="3"/>
      <c r="C72" s="3"/>
      <c r="D72" s="3"/>
      <c r="E72" s="3"/>
    </row>
    <row r="73" customFormat="false" ht="15" hidden="false" customHeight="false" outlineLevel="0" collapsed="false">
      <c r="A73" s="3"/>
      <c r="B73" s="3"/>
      <c r="C73" s="3"/>
      <c r="D73" s="3"/>
      <c r="E73" s="3"/>
    </row>
    <row r="74" customFormat="false" ht="15" hidden="false" customHeight="false" outlineLevel="0" collapsed="false">
      <c r="A74" s="3"/>
      <c r="B74" s="3"/>
      <c r="C74" s="3"/>
      <c r="D74" s="3"/>
      <c r="E74" s="3"/>
    </row>
    <row r="75" customFormat="false" ht="15" hidden="false" customHeight="false" outlineLevel="0" collapsed="false">
      <c r="A75" s="3"/>
      <c r="B75" s="3"/>
      <c r="C75" s="3"/>
      <c r="D75" s="3"/>
      <c r="E75" s="3"/>
    </row>
    <row r="76" customFormat="false" ht="15" hidden="false" customHeight="false" outlineLevel="0" collapsed="false">
      <c r="A76" s="3"/>
      <c r="B76" s="3"/>
      <c r="C76" s="3"/>
      <c r="D76" s="3"/>
      <c r="E76" s="3"/>
    </row>
    <row r="77" customFormat="false" ht="15" hidden="false" customHeight="false" outlineLevel="0" collapsed="false">
      <c r="A77" s="3"/>
      <c r="B77" s="3"/>
      <c r="C77" s="3"/>
      <c r="D77" s="3"/>
      <c r="E77" s="3"/>
    </row>
    <row r="78" customFormat="false" ht="15" hidden="false" customHeight="false" outlineLevel="0" collapsed="false">
      <c r="A78" s="3"/>
      <c r="B78" s="3"/>
      <c r="C78" s="3"/>
      <c r="D78" s="3"/>
      <c r="E78" s="3"/>
    </row>
    <row r="79" customFormat="false" ht="15" hidden="false" customHeight="false" outlineLevel="0" collapsed="false">
      <c r="A79" s="3"/>
      <c r="B79" s="3"/>
      <c r="C79" s="3"/>
      <c r="D79" s="3"/>
      <c r="E79" s="3"/>
    </row>
    <row r="80" customFormat="false" ht="15" hidden="false" customHeight="false" outlineLevel="0" collapsed="false">
      <c r="A80" s="3"/>
      <c r="B80" s="3"/>
      <c r="C80" s="3"/>
      <c r="D80" s="3"/>
      <c r="E80" s="3"/>
    </row>
    <row r="81" customFormat="false" ht="15" hidden="false" customHeight="false" outlineLevel="0" collapsed="false">
      <c r="A81" s="3"/>
      <c r="B81" s="3"/>
      <c r="C81" s="3"/>
      <c r="D81" s="3"/>
      <c r="E81" s="3"/>
    </row>
    <row r="82" customFormat="false" ht="15" hidden="false" customHeight="false" outlineLevel="0" collapsed="false">
      <c r="A82" s="3"/>
      <c r="B82" s="3"/>
      <c r="C82" s="3"/>
      <c r="D82" s="3"/>
      <c r="E82" s="3"/>
    </row>
    <row r="83" customFormat="false" ht="15" hidden="false" customHeight="false" outlineLevel="0" collapsed="false">
      <c r="A83" s="3"/>
      <c r="B83" s="3"/>
      <c r="C83" s="3"/>
      <c r="D83" s="3"/>
      <c r="E83" s="3"/>
    </row>
    <row r="84" customFormat="false" ht="15" hidden="false" customHeight="false" outlineLevel="0" collapsed="false">
      <c r="A84" s="3"/>
      <c r="B84" s="3"/>
      <c r="C84" s="3"/>
      <c r="D84" s="3"/>
      <c r="E84" s="3"/>
    </row>
    <row r="85" customFormat="false" ht="15" hidden="false" customHeight="false" outlineLevel="0" collapsed="false">
      <c r="A85" s="3"/>
      <c r="B85" s="3"/>
      <c r="C85" s="3"/>
      <c r="D85" s="3"/>
      <c r="E85" s="3"/>
    </row>
    <row r="86" customFormat="false" ht="15" hidden="false" customHeight="false" outlineLevel="0" collapsed="false">
      <c r="A86" s="3"/>
      <c r="B86" s="3"/>
      <c r="C86" s="3"/>
      <c r="D86" s="3"/>
      <c r="E86" s="3"/>
    </row>
    <row r="87" customFormat="false" ht="15" hidden="false" customHeight="false" outlineLevel="0" collapsed="false">
      <c r="A87" s="3"/>
      <c r="B87" s="3"/>
      <c r="C87" s="3"/>
      <c r="D87" s="3"/>
      <c r="E87" s="3"/>
    </row>
    <row r="88" customFormat="false" ht="15" hidden="false" customHeight="false" outlineLevel="0" collapsed="false">
      <c r="A88" s="3"/>
      <c r="B88" s="3"/>
      <c r="C88" s="3"/>
      <c r="D88" s="3"/>
      <c r="E88" s="3"/>
    </row>
    <row r="89" customFormat="false" ht="15" hidden="false" customHeight="false" outlineLevel="0" collapsed="false">
      <c r="A89" s="3"/>
      <c r="B89" s="3"/>
      <c r="C89" s="3"/>
      <c r="D89" s="3"/>
      <c r="E89" s="3"/>
    </row>
    <row r="90" customFormat="false" ht="15" hidden="false" customHeight="false" outlineLevel="0" collapsed="false">
      <c r="A90" s="3"/>
      <c r="B90" s="3"/>
      <c r="C90" s="3"/>
      <c r="D90" s="3"/>
      <c r="E90" s="3"/>
    </row>
    <row r="91" customFormat="false" ht="15" hidden="false" customHeight="false" outlineLevel="0" collapsed="false">
      <c r="A91" s="3"/>
      <c r="B91" s="3"/>
      <c r="C91" s="3"/>
      <c r="D91" s="3"/>
      <c r="E91" s="3"/>
    </row>
    <row r="92" customFormat="false" ht="15" hidden="false" customHeight="false" outlineLevel="0" collapsed="false">
      <c r="A92" s="3"/>
      <c r="B92" s="3"/>
      <c r="C92" s="3"/>
      <c r="D92" s="3"/>
      <c r="E92" s="3"/>
    </row>
    <row r="93" customFormat="false" ht="15" hidden="false" customHeight="false" outlineLevel="0" collapsed="false">
      <c r="A93" s="3"/>
      <c r="B93" s="3"/>
      <c r="C93" s="3"/>
      <c r="D93" s="3"/>
      <c r="E93" s="3"/>
    </row>
    <row r="94" customFormat="false" ht="15" hidden="false" customHeight="false" outlineLevel="0" collapsed="false">
      <c r="A94" s="3"/>
      <c r="B94" s="3"/>
      <c r="C94" s="3"/>
      <c r="D94" s="3"/>
      <c r="E94" s="3"/>
    </row>
    <row r="95" customFormat="false" ht="15" hidden="false" customHeight="false" outlineLevel="0" collapsed="false">
      <c r="A95" s="3"/>
      <c r="B95" s="3"/>
      <c r="C95" s="3"/>
      <c r="D95" s="3"/>
      <c r="E95" s="3"/>
    </row>
    <row r="96" customFormat="false" ht="15" hidden="false" customHeight="false" outlineLevel="0" collapsed="false">
      <c r="A96" s="3"/>
      <c r="B96" s="3"/>
      <c r="C96" s="3"/>
      <c r="D96" s="3"/>
      <c r="E96" s="3"/>
    </row>
    <row r="97" customFormat="false" ht="15" hidden="false" customHeight="false" outlineLevel="0" collapsed="false">
      <c r="A97" s="3"/>
      <c r="B97" s="3"/>
      <c r="C97" s="3"/>
      <c r="D97" s="3"/>
      <c r="E97" s="3"/>
    </row>
    <row r="98" customFormat="false" ht="15" hidden="false" customHeight="false" outlineLevel="0" collapsed="false">
      <c r="A98" s="3"/>
      <c r="B98" s="3"/>
      <c r="C98" s="3"/>
      <c r="D98" s="3"/>
      <c r="E98" s="3"/>
    </row>
    <row r="99" customFormat="false" ht="15" hidden="false" customHeight="false" outlineLevel="0" collapsed="false">
      <c r="A99" s="3"/>
      <c r="B99" s="3"/>
      <c r="C99" s="3"/>
      <c r="D99" s="3"/>
      <c r="E99" s="3"/>
    </row>
    <row r="100" customFormat="false" ht="15" hidden="false" customHeight="false" outlineLevel="0" collapsed="false">
      <c r="A100" s="3"/>
      <c r="B100" s="3"/>
      <c r="C100" s="3"/>
      <c r="D100" s="3"/>
      <c r="E100" s="3"/>
    </row>
    <row r="101" customFormat="false" ht="15" hidden="false" customHeight="false" outlineLevel="0" collapsed="false">
      <c r="A101" s="3"/>
      <c r="B101" s="3"/>
      <c r="C101" s="3"/>
      <c r="D101" s="3"/>
      <c r="E101" s="3"/>
    </row>
    <row r="102" customFormat="false" ht="15" hidden="false" customHeight="false" outlineLevel="0" collapsed="false">
      <c r="A102" s="3"/>
      <c r="B102" s="3"/>
      <c r="C102" s="3"/>
      <c r="D102" s="3"/>
      <c r="E102" s="3"/>
    </row>
    <row r="103" customFormat="false" ht="15" hidden="false" customHeight="false" outlineLevel="0" collapsed="false">
      <c r="A103" s="3"/>
      <c r="B103" s="3"/>
      <c r="C103" s="3"/>
      <c r="D103" s="3"/>
      <c r="E103" s="3"/>
    </row>
    <row r="104" customFormat="false" ht="15" hidden="false" customHeight="false" outlineLevel="0" collapsed="false">
      <c r="A104" s="3"/>
      <c r="B104" s="3"/>
      <c r="C104" s="3"/>
      <c r="D104" s="3"/>
      <c r="E104" s="3"/>
    </row>
    <row r="105" customFormat="false" ht="15" hidden="false" customHeight="false" outlineLevel="0" collapsed="false">
      <c r="A105" s="3"/>
      <c r="B105" s="3"/>
      <c r="C105" s="3"/>
      <c r="D105" s="3"/>
      <c r="E105" s="3"/>
    </row>
    <row r="106" customFormat="false" ht="15" hidden="false" customHeight="false" outlineLevel="0" collapsed="false">
      <c r="A106" s="3"/>
      <c r="B106" s="3"/>
      <c r="C106" s="3"/>
      <c r="D106" s="3"/>
      <c r="E106" s="3"/>
    </row>
    <row r="107" customFormat="false" ht="15" hidden="false" customHeight="false" outlineLevel="0" collapsed="false">
      <c r="A107" s="3"/>
      <c r="B107" s="3"/>
      <c r="C107" s="3"/>
      <c r="D107" s="3"/>
      <c r="E107" s="3"/>
    </row>
    <row r="108" customFormat="false" ht="15" hidden="false" customHeight="false" outlineLevel="0" collapsed="false">
      <c r="A108" s="3"/>
      <c r="B108" s="3"/>
      <c r="C108" s="3"/>
      <c r="D108" s="3"/>
      <c r="E108" s="3"/>
    </row>
    <row r="109" customFormat="false" ht="15" hidden="false" customHeight="false" outlineLevel="0" collapsed="false">
      <c r="A109" s="3"/>
      <c r="B109" s="3"/>
      <c r="C109" s="3"/>
      <c r="D109" s="3"/>
      <c r="E109" s="3"/>
    </row>
    <row r="110" customFormat="false" ht="15" hidden="false" customHeight="false" outlineLevel="0" collapsed="false">
      <c r="A110" s="3"/>
      <c r="B110" s="3"/>
      <c r="C110" s="3"/>
      <c r="D110" s="3"/>
      <c r="E110" s="3"/>
    </row>
    <row r="111" customFormat="false" ht="15" hidden="false" customHeight="false" outlineLevel="0" collapsed="false">
      <c r="A111" s="3"/>
      <c r="B111" s="3"/>
      <c r="C111" s="3"/>
      <c r="D111" s="3"/>
      <c r="E111" s="3"/>
    </row>
    <row r="112" customFormat="false" ht="15" hidden="false" customHeight="false" outlineLevel="0" collapsed="false">
      <c r="A112" s="3"/>
      <c r="B112" s="3"/>
      <c r="C112" s="3"/>
      <c r="D112" s="3"/>
      <c r="E112" s="3"/>
    </row>
    <row r="113" customFormat="false" ht="15" hidden="false" customHeight="false" outlineLevel="0" collapsed="false">
      <c r="A113" s="3"/>
      <c r="B113" s="3"/>
      <c r="C113" s="3"/>
      <c r="D113" s="3"/>
      <c r="E113" s="3"/>
    </row>
    <row r="114" customFormat="false" ht="15" hidden="false" customHeight="false" outlineLevel="0" collapsed="false">
      <c r="A114" s="3"/>
      <c r="B114" s="3"/>
      <c r="C114" s="3"/>
      <c r="D114" s="3"/>
      <c r="E114" s="3"/>
    </row>
    <row r="115" customFormat="false" ht="15" hidden="false" customHeight="false" outlineLevel="0" collapsed="false">
      <c r="A115" s="3"/>
      <c r="B115" s="3"/>
      <c r="C115" s="3"/>
      <c r="D115" s="3"/>
      <c r="E115" s="3"/>
    </row>
    <row r="116" customFormat="false" ht="15" hidden="false" customHeight="false" outlineLevel="0" collapsed="false">
      <c r="A116" s="3"/>
      <c r="B116" s="3"/>
      <c r="C116" s="3"/>
      <c r="D116" s="3"/>
      <c r="E116" s="3"/>
    </row>
    <row r="117" customFormat="false" ht="15" hidden="false" customHeight="false" outlineLevel="0" collapsed="false">
      <c r="A117" s="3"/>
      <c r="B117" s="3"/>
      <c r="C117" s="3"/>
      <c r="D117" s="3"/>
      <c r="E117" s="3"/>
    </row>
    <row r="118" customFormat="false" ht="15" hidden="false" customHeight="false" outlineLevel="0" collapsed="false">
      <c r="A118" s="3"/>
      <c r="B118" s="3"/>
      <c r="C118" s="3"/>
      <c r="D118" s="3"/>
      <c r="E118" s="3"/>
    </row>
    <row r="119" customFormat="false" ht="15" hidden="false" customHeight="false" outlineLevel="0" collapsed="false">
      <c r="A119" s="3"/>
      <c r="B119" s="3"/>
      <c r="C119" s="3"/>
      <c r="D119" s="3"/>
      <c r="E119" s="3"/>
    </row>
    <row r="120" customFormat="false" ht="15" hidden="false" customHeight="false" outlineLevel="0" collapsed="false">
      <c r="A120" s="3"/>
      <c r="B120" s="3"/>
      <c r="C120" s="3"/>
      <c r="D120" s="3"/>
      <c r="E120" s="3"/>
    </row>
    <row r="121" customFormat="false" ht="15" hidden="false" customHeight="false" outlineLevel="0" collapsed="false">
      <c r="A121" s="3"/>
      <c r="B121" s="3"/>
      <c r="C121" s="3"/>
      <c r="D121" s="3"/>
      <c r="E121" s="3"/>
    </row>
    <row r="122" customFormat="false" ht="15" hidden="false" customHeight="false" outlineLevel="0" collapsed="false">
      <c r="A122" s="3"/>
      <c r="B122" s="3"/>
      <c r="C122" s="3"/>
      <c r="D122" s="3"/>
      <c r="E122" s="3"/>
    </row>
    <row r="123" customFormat="false" ht="15" hidden="false" customHeight="false" outlineLevel="0" collapsed="false">
      <c r="A123" s="3"/>
      <c r="B123" s="3"/>
      <c r="C123" s="3"/>
      <c r="D123" s="3"/>
      <c r="E123" s="3"/>
    </row>
    <row r="124" customFormat="false" ht="15" hidden="false" customHeight="false" outlineLevel="0" collapsed="false">
      <c r="A124" s="3"/>
      <c r="B124" s="3"/>
      <c r="C124" s="3"/>
      <c r="D124" s="3"/>
      <c r="E124" s="3"/>
    </row>
    <row r="125" customFormat="false" ht="15" hidden="false" customHeight="false" outlineLevel="0" collapsed="false">
      <c r="A125" s="3"/>
      <c r="B125" s="3"/>
      <c r="C125" s="3"/>
      <c r="D125" s="3"/>
      <c r="E125" s="3"/>
    </row>
    <row r="126" customFormat="false" ht="15" hidden="false" customHeight="false" outlineLevel="0" collapsed="false">
      <c r="A126" s="3"/>
      <c r="B126" s="3"/>
      <c r="C126" s="3"/>
      <c r="D126" s="3"/>
      <c r="E126" s="3"/>
    </row>
    <row r="127" customFormat="false" ht="15" hidden="false" customHeight="false" outlineLevel="0" collapsed="false">
      <c r="A127" s="3"/>
      <c r="B127" s="3"/>
      <c r="C127" s="3"/>
      <c r="D127" s="3"/>
      <c r="E127" s="3"/>
    </row>
    <row r="128" customFormat="false" ht="15" hidden="false" customHeight="false" outlineLevel="0" collapsed="false">
      <c r="A128" s="3"/>
      <c r="B128" s="3"/>
      <c r="C128" s="3"/>
      <c r="D128" s="3"/>
      <c r="E128" s="3"/>
    </row>
    <row r="129" customFormat="false" ht="15" hidden="false" customHeight="false" outlineLevel="0" collapsed="false">
      <c r="A129" s="3"/>
      <c r="B129" s="3"/>
      <c r="C129" s="3"/>
      <c r="D129" s="3"/>
      <c r="E129" s="3"/>
    </row>
    <row r="130" customFormat="false" ht="15" hidden="false" customHeight="false" outlineLevel="0" collapsed="false">
      <c r="A130" s="3"/>
      <c r="B130" s="3"/>
      <c r="C130" s="3"/>
      <c r="D130" s="3"/>
      <c r="E130" s="3"/>
    </row>
    <row r="131" customFormat="false" ht="15" hidden="false" customHeight="false" outlineLevel="0" collapsed="false">
      <c r="A131" s="3"/>
      <c r="B131" s="3"/>
      <c r="C131" s="3"/>
      <c r="D131" s="3"/>
      <c r="E131" s="3"/>
    </row>
    <row r="132" customFormat="false" ht="15" hidden="false" customHeight="false" outlineLevel="0" collapsed="false">
      <c r="A132" s="3"/>
      <c r="B132" s="3"/>
      <c r="C132" s="3"/>
      <c r="D132" s="3"/>
      <c r="E132" s="3"/>
    </row>
    <row r="133" customFormat="false" ht="15" hidden="false" customHeight="false" outlineLevel="0" collapsed="false">
      <c r="A133" s="3"/>
      <c r="B133" s="3"/>
      <c r="C133" s="3"/>
      <c r="D133" s="3"/>
      <c r="E133" s="3"/>
    </row>
    <row r="134" customFormat="false" ht="15" hidden="false" customHeight="false" outlineLevel="0" collapsed="false">
      <c r="A134" s="3"/>
      <c r="B134" s="3"/>
      <c r="C134" s="3"/>
      <c r="D134" s="3"/>
      <c r="E134" s="3"/>
    </row>
    <row r="135" customFormat="false" ht="15" hidden="false" customHeight="false" outlineLevel="0" collapsed="false">
      <c r="A135" s="3"/>
      <c r="B135" s="3"/>
      <c r="C135" s="3"/>
      <c r="D135" s="3"/>
      <c r="E135" s="3"/>
    </row>
    <row r="136" customFormat="false" ht="15" hidden="false" customHeight="false" outlineLevel="0" collapsed="false">
      <c r="A136" s="3"/>
      <c r="B136" s="3"/>
      <c r="C136" s="3"/>
      <c r="D136" s="3"/>
      <c r="E136" s="3"/>
    </row>
    <row r="137" customFormat="false" ht="15" hidden="false" customHeight="false" outlineLevel="0" collapsed="false">
      <c r="A137" s="3"/>
      <c r="B137" s="3"/>
      <c r="C137" s="3"/>
      <c r="D137" s="3"/>
      <c r="E137" s="3"/>
    </row>
    <row r="138" customFormat="false" ht="15" hidden="false" customHeight="false" outlineLevel="0" collapsed="false">
      <c r="A138" s="3"/>
      <c r="B138" s="3"/>
      <c r="C138" s="3"/>
      <c r="D138" s="3"/>
      <c r="E138" s="3"/>
    </row>
    <row r="139" customFormat="false" ht="15" hidden="false" customHeight="false" outlineLevel="0" collapsed="false">
      <c r="A139" s="3"/>
      <c r="B139" s="3"/>
      <c r="C139" s="3"/>
      <c r="D139" s="3"/>
      <c r="E139" s="3"/>
    </row>
    <row r="140" customFormat="false" ht="15" hidden="false" customHeight="false" outlineLevel="0" collapsed="false">
      <c r="A140" s="3"/>
      <c r="B140" s="3"/>
      <c r="C140" s="3"/>
      <c r="D140" s="3"/>
      <c r="E140" s="3"/>
    </row>
    <row r="141" customFormat="false" ht="15" hidden="false" customHeight="false" outlineLevel="0" collapsed="false">
      <c r="A141" s="3"/>
      <c r="B141" s="3"/>
      <c r="C141" s="3"/>
      <c r="D141" s="3"/>
      <c r="E141" s="3"/>
    </row>
    <row r="142" customFormat="false" ht="15" hidden="false" customHeight="false" outlineLevel="0" collapsed="false">
      <c r="A142" s="3"/>
      <c r="B142" s="3"/>
      <c r="C142" s="3"/>
      <c r="D142" s="3"/>
      <c r="E142" s="3"/>
    </row>
    <row r="143" customFormat="false" ht="15" hidden="false" customHeight="false" outlineLevel="0" collapsed="false">
      <c r="A143" s="3"/>
      <c r="B143" s="3"/>
      <c r="C143" s="3"/>
      <c r="D143" s="3"/>
      <c r="E143" s="3"/>
    </row>
    <row r="144" customFormat="false" ht="15" hidden="false" customHeight="false" outlineLevel="0" collapsed="false">
      <c r="A144" s="3"/>
      <c r="B144" s="3"/>
      <c r="C144" s="3"/>
      <c r="D144" s="3"/>
      <c r="E144" s="3"/>
    </row>
    <row r="145" customFormat="false" ht="15" hidden="false" customHeight="false" outlineLevel="0" collapsed="false">
      <c r="A145" s="3"/>
      <c r="B145" s="3"/>
      <c r="C145" s="3"/>
      <c r="D145" s="3"/>
      <c r="E145" s="3"/>
    </row>
    <row r="146" customFormat="false" ht="15" hidden="false" customHeight="false" outlineLevel="0" collapsed="false">
      <c r="A146" s="3"/>
      <c r="B146" s="3"/>
      <c r="C146" s="3"/>
      <c r="D146" s="3"/>
      <c r="E146" s="3"/>
    </row>
    <row r="147" customFormat="false" ht="15" hidden="false" customHeight="false" outlineLevel="0" collapsed="false">
      <c r="A147" s="3"/>
      <c r="B147" s="3"/>
      <c r="C147" s="3"/>
      <c r="D147" s="3"/>
      <c r="E147" s="3"/>
    </row>
    <row r="148" customFormat="false" ht="15" hidden="false" customHeight="false" outlineLevel="0" collapsed="false">
      <c r="A148" s="3"/>
      <c r="B148" s="3"/>
      <c r="C148" s="3"/>
      <c r="D148" s="3"/>
      <c r="E148" s="3"/>
    </row>
    <row r="149" customFormat="false" ht="15" hidden="false" customHeight="false" outlineLevel="0" collapsed="false">
      <c r="A149" s="3"/>
      <c r="B149" s="3"/>
      <c r="C149" s="3"/>
      <c r="D149" s="3"/>
      <c r="E149" s="3"/>
    </row>
    <row r="150" customFormat="false" ht="15" hidden="false" customHeight="false" outlineLevel="0" collapsed="false">
      <c r="A150" s="3"/>
      <c r="B150" s="3"/>
      <c r="C150" s="3"/>
      <c r="D150" s="3"/>
      <c r="E150" s="3"/>
    </row>
    <row r="151" customFormat="false" ht="15" hidden="false" customHeight="false" outlineLevel="0" collapsed="false">
      <c r="A151" s="3"/>
      <c r="B151" s="3"/>
      <c r="C151" s="3"/>
      <c r="D151" s="3"/>
      <c r="E151" s="3"/>
    </row>
    <row r="152" customFormat="false" ht="15" hidden="false" customHeight="false" outlineLevel="0" collapsed="false">
      <c r="A152" s="3"/>
      <c r="B152" s="3"/>
      <c r="C152" s="3"/>
      <c r="D152" s="3"/>
      <c r="E152" s="3"/>
    </row>
    <row r="153" customFormat="false" ht="15" hidden="false" customHeight="false" outlineLevel="0" collapsed="false">
      <c r="A153" s="3"/>
      <c r="B153" s="3"/>
      <c r="C153" s="3"/>
      <c r="D153" s="3"/>
      <c r="E153" s="3"/>
    </row>
    <row r="154" customFormat="false" ht="15" hidden="false" customHeight="false" outlineLevel="0" collapsed="false">
      <c r="A154" s="3"/>
      <c r="B154" s="3"/>
      <c r="C154" s="3"/>
      <c r="D154" s="3"/>
      <c r="E154" s="3"/>
    </row>
    <row r="155" customFormat="false" ht="15" hidden="false" customHeight="false" outlineLevel="0" collapsed="false">
      <c r="A155" s="3"/>
      <c r="B155" s="3"/>
      <c r="C155" s="3"/>
      <c r="D155" s="3"/>
      <c r="E155" s="3"/>
    </row>
    <row r="156" customFormat="false" ht="15" hidden="false" customHeight="false" outlineLevel="0" collapsed="false">
      <c r="A156" s="3"/>
      <c r="B156" s="3"/>
      <c r="C156" s="3"/>
      <c r="D156" s="3"/>
      <c r="E156" s="3"/>
    </row>
    <row r="157" customFormat="false" ht="15" hidden="false" customHeight="false" outlineLevel="0" collapsed="false">
      <c r="A157" s="3"/>
      <c r="B157" s="3"/>
      <c r="C157" s="3"/>
      <c r="D157" s="3"/>
      <c r="E157" s="3"/>
    </row>
    <row r="158" customFormat="false" ht="15" hidden="false" customHeight="false" outlineLevel="0" collapsed="false">
      <c r="A158" s="3"/>
      <c r="B158" s="3"/>
      <c r="C158" s="3"/>
      <c r="D158" s="3"/>
      <c r="E158" s="3"/>
    </row>
    <row r="159" customFormat="false" ht="15" hidden="false" customHeight="false" outlineLevel="0" collapsed="false">
      <c r="A159" s="3"/>
      <c r="B159" s="3"/>
      <c r="C159" s="3"/>
      <c r="D159" s="3"/>
      <c r="E159" s="3"/>
    </row>
    <row r="160" customFormat="false" ht="15" hidden="false" customHeight="false" outlineLevel="0" collapsed="false">
      <c r="A160" s="3"/>
      <c r="B160" s="3"/>
      <c r="C160" s="3"/>
      <c r="D160" s="3"/>
      <c r="E160" s="3"/>
    </row>
    <row r="161" customFormat="false" ht="15" hidden="false" customHeight="false" outlineLevel="0" collapsed="false">
      <c r="A161" s="3"/>
      <c r="B161" s="3"/>
      <c r="C161" s="3"/>
      <c r="D161" s="3"/>
      <c r="E161" s="3"/>
    </row>
    <row r="162" customFormat="false" ht="15" hidden="false" customHeight="false" outlineLevel="0" collapsed="false">
      <c r="A162" s="3"/>
      <c r="B162" s="3"/>
      <c r="C162" s="3"/>
      <c r="D162" s="3"/>
      <c r="E162" s="3"/>
    </row>
    <row r="163" customFormat="false" ht="15" hidden="false" customHeight="false" outlineLevel="0" collapsed="false">
      <c r="A163" s="3"/>
      <c r="B163" s="3"/>
      <c r="C163" s="3"/>
      <c r="D163" s="3"/>
      <c r="E163" s="3"/>
    </row>
    <row r="164" customFormat="false" ht="15" hidden="false" customHeight="false" outlineLevel="0" collapsed="false">
      <c r="A164" s="3"/>
      <c r="B164" s="3"/>
      <c r="C164" s="3"/>
      <c r="D164" s="3"/>
      <c r="E164" s="3"/>
    </row>
    <row r="165" customFormat="false" ht="15" hidden="false" customHeight="false" outlineLevel="0" collapsed="false">
      <c r="A165" s="3"/>
      <c r="B165" s="3"/>
      <c r="C165" s="3"/>
      <c r="D165" s="3"/>
      <c r="E165" s="3"/>
    </row>
    <row r="166" customFormat="false" ht="15" hidden="false" customHeight="false" outlineLevel="0" collapsed="false">
      <c r="A166" s="3"/>
      <c r="B166" s="3"/>
      <c r="C166" s="3"/>
      <c r="D166" s="3"/>
      <c r="E166" s="3"/>
    </row>
    <row r="167" customFormat="false" ht="15" hidden="false" customHeight="false" outlineLevel="0" collapsed="false">
      <c r="A167" s="3"/>
      <c r="B167" s="3"/>
      <c r="C167" s="3"/>
      <c r="D167" s="3"/>
      <c r="E167" s="3"/>
    </row>
    <row r="168" customFormat="false" ht="15" hidden="false" customHeight="false" outlineLevel="0" collapsed="false">
      <c r="A168" s="3"/>
      <c r="B168" s="3"/>
      <c r="C168" s="3"/>
      <c r="D168" s="3"/>
      <c r="E168" s="3"/>
    </row>
    <row r="169" customFormat="false" ht="15" hidden="false" customHeight="false" outlineLevel="0" collapsed="false">
      <c r="A169" s="3"/>
      <c r="B169" s="3"/>
      <c r="C169" s="3"/>
      <c r="D169" s="3"/>
      <c r="E169" s="3"/>
    </row>
    <row r="170" customFormat="false" ht="15" hidden="false" customHeight="false" outlineLevel="0" collapsed="false">
      <c r="A170" s="3"/>
      <c r="B170" s="3"/>
      <c r="C170" s="3"/>
      <c r="D170" s="3"/>
      <c r="E170" s="3"/>
    </row>
    <row r="171" customFormat="false" ht="15" hidden="false" customHeight="false" outlineLevel="0" collapsed="false">
      <c r="A171" s="3"/>
      <c r="B171" s="3"/>
      <c r="C171" s="3"/>
      <c r="D171" s="3"/>
      <c r="E171" s="3"/>
    </row>
    <row r="172" customFormat="false" ht="15" hidden="false" customHeight="false" outlineLevel="0" collapsed="false">
      <c r="A172" s="3"/>
      <c r="B172" s="3"/>
      <c r="C172" s="3"/>
      <c r="D172" s="3"/>
      <c r="E172" s="3"/>
    </row>
    <row r="173" customFormat="false" ht="15" hidden="false" customHeight="false" outlineLevel="0" collapsed="false">
      <c r="A173" s="3"/>
      <c r="B173" s="3"/>
      <c r="C173" s="3"/>
      <c r="D173" s="3"/>
      <c r="E173" s="3"/>
    </row>
    <row r="174" customFormat="false" ht="15" hidden="false" customHeight="false" outlineLevel="0" collapsed="false">
      <c r="A174" s="3"/>
      <c r="B174" s="3"/>
      <c r="C174" s="3"/>
      <c r="D174" s="3"/>
      <c r="E174" s="3"/>
    </row>
    <row r="175" customFormat="false" ht="15" hidden="false" customHeight="false" outlineLevel="0" collapsed="false">
      <c r="A175" s="3"/>
      <c r="B175" s="3"/>
      <c r="C175" s="3"/>
      <c r="D175" s="3"/>
      <c r="E175" s="3"/>
    </row>
    <row r="176" customFormat="false" ht="15" hidden="false" customHeight="false" outlineLevel="0" collapsed="false">
      <c r="A176" s="3"/>
      <c r="B176" s="3"/>
      <c r="C176" s="3"/>
      <c r="D176" s="3"/>
      <c r="E176" s="3"/>
    </row>
    <row r="177" customFormat="false" ht="15" hidden="false" customHeight="false" outlineLevel="0" collapsed="false">
      <c r="A177" s="3"/>
      <c r="B177" s="3"/>
      <c r="C177" s="3"/>
      <c r="D177" s="3"/>
      <c r="E177" s="3"/>
    </row>
    <row r="178" customFormat="false" ht="15" hidden="false" customHeight="false" outlineLevel="0" collapsed="false">
      <c r="A178" s="3"/>
      <c r="B178" s="3"/>
      <c r="C178" s="3"/>
      <c r="D178" s="3"/>
      <c r="E178" s="3"/>
    </row>
    <row r="179" customFormat="false" ht="15" hidden="false" customHeight="false" outlineLevel="0" collapsed="false">
      <c r="A179" s="3"/>
      <c r="B179" s="3"/>
      <c r="C179" s="3"/>
      <c r="D179" s="3"/>
      <c r="E179" s="3"/>
    </row>
    <row r="180" customFormat="false" ht="15" hidden="false" customHeight="false" outlineLevel="0" collapsed="false">
      <c r="A180" s="3"/>
      <c r="B180" s="3"/>
      <c r="C180" s="3"/>
      <c r="D180" s="3"/>
      <c r="E180" s="3"/>
    </row>
    <row r="181" customFormat="false" ht="15" hidden="false" customHeight="false" outlineLevel="0" collapsed="false">
      <c r="A181" s="3"/>
      <c r="B181" s="3"/>
      <c r="C181" s="3"/>
      <c r="D181" s="3"/>
      <c r="E181" s="3"/>
    </row>
    <row r="182" customFormat="false" ht="15" hidden="false" customHeight="false" outlineLevel="0" collapsed="false">
      <c r="A182" s="3"/>
      <c r="B182" s="3"/>
      <c r="C182" s="3"/>
      <c r="D182" s="3"/>
      <c r="E182" s="3"/>
    </row>
    <row r="183" customFormat="false" ht="15" hidden="false" customHeight="false" outlineLevel="0" collapsed="false">
      <c r="A183" s="3"/>
      <c r="B183" s="3"/>
      <c r="C183" s="3"/>
      <c r="D183" s="3"/>
      <c r="E183" s="3"/>
    </row>
    <row r="184" customFormat="false" ht="15" hidden="false" customHeight="false" outlineLevel="0" collapsed="false">
      <c r="A184" s="3"/>
      <c r="B184" s="3"/>
      <c r="C184" s="3"/>
      <c r="D184" s="3"/>
      <c r="E184" s="3"/>
    </row>
    <row r="185" customFormat="false" ht="15" hidden="false" customHeight="false" outlineLevel="0" collapsed="false">
      <c r="A185" s="3"/>
      <c r="B185" s="3"/>
      <c r="C185" s="3"/>
      <c r="D185" s="3"/>
      <c r="E185" s="3"/>
    </row>
    <row r="186" customFormat="false" ht="15" hidden="false" customHeight="false" outlineLevel="0" collapsed="false">
      <c r="A186" s="3"/>
      <c r="B186" s="3"/>
      <c r="C186" s="3"/>
      <c r="D186" s="3"/>
      <c r="E186" s="3"/>
    </row>
    <row r="187" customFormat="false" ht="15" hidden="false" customHeight="false" outlineLevel="0" collapsed="false">
      <c r="A187" s="3"/>
      <c r="B187" s="3"/>
      <c r="C187" s="3"/>
      <c r="D187" s="3"/>
      <c r="E187" s="3"/>
    </row>
    <row r="188" customFormat="false" ht="15" hidden="false" customHeight="false" outlineLevel="0" collapsed="false">
      <c r="A188" s="3"/>
      <c r="B188" s="3"/>
      <c r="C188" s="3"/>
      <c r="D188" s="3"/>
      <c r="E188" s="3"/>
    </row>
    <row r="189" customFormat="false" ht="15" hidden="false" customHeight="false" outlineLevel="0" collapsed="false">
      <c r="A189" s="3"/>
      <c r="B189" s="3"/>
      <c r="C189" s="3"/>
      <c r="D189" s="3"/>
      <c r="E189" s="3"/>
    </row>
    <row r="190" customFormat="false" ht="15" hidden="false" customHeight="false" outlineLevel="0" collapsed="false">
      <c r="A190" s="3"/>
      <c r="B190" s="3"/>
      <c r="C190" s="3"/>
      <c r="D190" s="3"/>
      <c r="E190" s="3"/>
    </row>
    <row r="191" customFormat="false" ht="15" hidden="false" customHeight="false" outlineLevel="0" collapsed="false">
      <c r="A191" s="3"/>
      <c r="B191" s="3"/>
      <c r="C191" s="3"/>
      <c r="D191" s="3"/>
      <c r="E191" s="3"/>
    </row>
    <row r="192" customFormat="false" ht="15" hidden="false" customHeight="false" outlineLevel="0" collapsed="false">
      <c r="A192" s="3"/>
      <c r="B192" s="3"/>
      <c r="C192" s="3"/>
      <c r="D192" s="3"/>
      <c r="E192" s="3"/>
    </row>
    <row r="193" customFormat="false" ht="15" hidden="false" customHeight="false" outlineLevel="0" collapsed="false">
      <c r="A193" s="3"/>
      <c r="B193" s="3"/>
      <c r="C193" s="3"/>
      <c r="D193" s="3"/>
      <c r="E193" s="3"/>
    </row>
    <row r="194" customFormat="false" ht="15" hidden="false" customHeight="false" outlineLevel="0" collapsed="false">
      <c r="A194" s="3"/>
      <c r="B194" s="3"/>
      <c r="C194" s="3"/>
      <c r="D194" s="3"/>
      <c r="E194" s="3"/>
    </row>
    <row r="195" customFormat="false" ht="15" hidden="false" customHeight="false" outlineLevel="0" collapsed="false">
      <c r="A195" s="3"/>
      <c r="B195" s="3"/>
      <c r="C195" s="3"/>
      <c r="D195" s="3"/>
      <c r="E195" s="3"/>
    </row>
    <row r="196" customFormat="false" ht="15" hidden="false" customHeight="false" outlineLevel="0" collapsed="false">
      <c r="A196" s="3"/>
      <c r="B196" s="3"/>
      <c r="C196" s="3"/>
      <c r="D196" s="3"/>
      <c r="E196" s="3"/>
    </row>
    <row r="197" customFormat="false" ht="15" hidden="false" customHeight="false" outlineLevel="0" collapsed="false">
      <c r="A197" s="3"/>
      <c r="B197" s="3"/>
      <c r="C197" s="3"/>
      <c r="D197" s="3"/>
      <c r="E197" s="3"/>
    </row>
    <row r="198" customFormat="false" ht="15" hidden="false" customHeight="false" outlineLevel="0" collapsed="false">
      <c r="A198" s="3"/>
      <c r="B198" s="3"/>
      <c r="C198" s="3"/>
      <c r="D198" s="3"/>
      <c r="E198" s="3"/>
    </row>
    <row r="199" customFormat="false" ht="15" hidden="false" customHeight="false" outlineLevel="0" collapsed="false">
      <c r="A199" s="3"/>
      <c r="B199" s="3"/>
      <c r="C199" s="3"/>
      <c r="D199" s="3"/>
      <c r="E199" s="3"/>
    </row>
    <row r="200" customFormat="false" ht="15" hidden="false" customHeight="false" outlineLevel="0" collapsed="false">
      <c r="A200" s="3"/>
      <c r="B200" s="3"/>
      <c r="C200" s="3"/>
      <c r="D200" s="3"/>
      <c r="E200" s="3"/>
    </row>
    <row r="201" customFormat="false" ht="15" hidden="false" customHeight="false" outlineLevel="0" collapsed="false">
      <c r="A201" s="3"/>
      <c r="B201" s="3"/>
      <c r="C201" s="3"/>
      <c r="D201" s="3"/>
      <c r="E201" s="3"/>
    </row>
    <row r="202" customFormat="false" ht="15" hidden="false" customHeight="false" outlineLevel="0" collapsed="false">
      <c r="A202" s="3"/>
      <c r="B202" s="3"/>
      <c r="C202" s="3"/>
      <c r="D202" s="3"/>
      <c r="E202" s="3"/>
    </row>
    <row r="203" customFormat="false" ht="15" hidden="false" customHeight="false" outlineLevel="0" collapsed="false">
      <c r="A203" s="3"/>
      <c r="B203" s="3"/>
      <c r="C203" s="3"/>
      <c r="D203" s="3"/>
      <c r="E203" s="3"/>
    </row>
    <row r="204" customFormat="false" ht="15" hidden="false" customHeight="false" outlineLevel="0" collapsed="false">
      <c r="A204" s="3"/>
      <c r="B204" s="3"/>
      <c r="C204" s="3"/>
      <c r="D204" s="3"/>
      <c r="E204" s="3"/>
    </row>
    <row r="205" customFormat="false" ht="15" hidden="false" customHeight="false" outlineLevel="0" collapsed="false">
      <c r="A205" s="3"/>
      <c r="B205" s="3"/>
      <c r="C205" s="3"/>
      <c r="D205" s="3"/>
      <c r="E205" s="3"/>
    </row>
    <row r="206" customFormat="false" ht="15" hidden="false" customHeight="false" outlineLevel="0" collapsed="false">
      <c r="A206" s="3"/>
      <c r="B206" s="3"/>
      <c r="C206" s="3"/>
      <c r="D206" s="3"/>
      <c r="E206" s="3"/>
    </row>
    <row r="207" customFormat="false" ht="15" hidden="false" customHeight="false" outlineLevel="0" collapsed="false">
      <c r="A207" s="3"/>
      <c r="B207" s="3"/>
      <c r="C207" s="3"/>
      <c r="D207" s="3"/>
      <c r="E207" s="3"/>
    </row>
    <row r="208" customFormat="false" ht="15" hidden="false" customHeight="false" outlineLevel="0" collapsed="false">
      <c r="A208" s="3"/>
      <c r="B208" s="3"/>
      <c r="C208" s="3"/>
      <c r="D208" s="3"/>
      <c r="E208" s="3"/>
    </row>
    <row r="209" customFormat="false" ht="15" hidden="false" customHeight="false" outlineLevel="0" collapsed="false">
      <c r="A209" s="3"/>
      <c r="B209" s="3"/>
      <c r="C209" s="3"/>
      <c r="D209" s="3"/>
      <c r="E209" s="3"/>
    </row>
    <row r="210" customFormat="false" ht="15" hidden="false" customHeight="false" outlineLevel="0" collapsed="false">
      <c r="A210" s="3"/>
      <c r="B210" s="3"/>
      <c r="C210" s="3"/>
      <c r="D210" s="3"/>
      <c r="E210" s="3"/>
    </row>
    <row r="211" customFormat="false" ht="15" hidden="false" customHeight="false" outlineLevel="0" collapsed="false">
      <c r="A211" s="3"/>
      <c r="B211" s="3"/>
      <c r="C211" s="3"/>
      <c r="D211" s="3"/>
      <c r="E211" s="3"/>
    </row>
    <row r="212" customFormat="false" ht="15" hidden="false" customHeight="false" outlineLevel="0" collapsed="false">
      <c r="A212" s="3"/>
      <c r="B212" s="3"/>
      <c r="C212" s="3"/>
      <c r="D212" s="3"/>
      <c r="E212" s="3"/>
    </row>
    <row r="213" customFormat="false" ht="15" hidden="false" customHeight="false" outlineLevel="0" collapsed="false">
      <c r="A213" s="3"/>
      <c r="B213" s="3"/>
      <c r="C213" s="3"/>
      <c r="D213" s="3"/>
      <c r="E213" s="3"/>
    </row>
    <row r="214" customFormat="false" ht="15" hidden="false" customHeight="false" outlineLevel="0" collapsed="false">
      <c r="A214" s="3"/>
      <c r="B214" s="3"/>
      <c r="C214" s="3"/>
      <c r="D214" s="3"/>
      <c r="E214" s="3"/>
    </row>
    <row r="215" customFormat="false" ht="15" hidden="false" customHeight="false" outlineLevel="0" collapsed="false">
      <c r="A215" s="3"/>
      <c r="B215" s="3"/>
      <c r="C215" s="3"/>
      <c r="D215" s="3"/>
      <c r="E215" s="3"/>
    </row>
    <row r="216" customFormat="false" ht="15" hidden="false" customHeight="false" outlineLevel="0" collapsed="false">
      <c r="A216" s="3"/>
      <c r="B216" s="3"/>
      <c r="C216" s="3"/>
      <c r="D216" s="3"/>
      <c r="E216" s="3"/>
    </row>
    <row r="217" customFormat="false" ht="15" hidden="false" customHeight="false" outlineLevel="0" collapsed="false">
      <c r="A217" s="3"/>
      <c r="B217" s="3"/>
      <c r="C217" s="3"/>
      <c r="D217" s="3"/>
      <c r="E217" s="3"/>
    </row>
    <row r="218" customFormat="false" ht="15" hidden="false" customHeight="false" outlineLevel="0" collapsed="false">
      <c r="A218" s="3"/>
      <c r="B218" s="3"/>
      <c r="C218" s="3"/>
      <c r="D218" s="3"/>
      <c r="E218" s="3"/>
    </row>
    <row r="219" customFormat="false" ht="15" hidden="false" customHeight="false" outlineLevel="0" collapsed="false">
      <c r="A219" s="3"/>
      <c r="B219" s="3"/>
      <c r="C219" s="3"/>
      <c r="D219" s="3"/>
      <c r="E219" s="3"/>
    </row>
    <row r="220" customFormat="false" ht="15" hidden="false" customHeight="false" outlineLevel="0" collapsed="false">
      <c r="A220" s="3"/>
      <c r="B220" s="3"/>
      <c r="C220" s="3"/>
      <c r="D220" s="3"/>
      <c r="E220" s="3"/>
    </row>
    <row r="221" customFormat="false" ht="15" hidden="false" customHeight="false" outlineLevel="0" collapsed="false">
      <c r="A221" s="3"/>
      <c r="B221" s="3"/>
      <c r="C221" s="3"/>
      <c r="D221" s="3"/>
      <c r="E221" s="3"/>
    </row>
    <row r="222" customFormat="false" ht="15" hidden="false" customHeight="false" outlineLevel="0" collapsed="false">
      <c r="A222" s="3"/>
      <c r="B222" s="3"/>
      <c r="C222" s="3"/>
      <c r="D222" s="3"/>
      <c r="E222" s="3"/>
    </row>
    <row r="223" customFormat="false" ht="15" hidden="false" customHeight="false" outlineLevel="0" collapsed="false">
      <c r="A223" s="3"/>
      <c r="B223" s="3"/>
      <c r="C223" s="3"/>
      <c r="D223" s="3"/>
      <c r="E223" s="3"/>
    </row>
    <row r="224" customFormat="false" ht="15" hidden="false" customHeight="false" outlineLevel="0" collapsed="false">
      <c r="A224" s="3"/>
      <c r="B224" s="3"/>
      <c r="C224" s="3"/>
      <c r="D224" s="3"/>
      <c r="E224" s="3"/>
    </row>
    <row r="225" customFormat="false" ht="15" hidden="false" customHeight="false" outlineLevel="0" collapsed="false">
      <c r="A225" s="3"/>
      <c r="B225" s="3"/>
      <c r="C225" s="3"/>
      <c r="D225" s="3"/>
      <c r="E225" s="3"/>
    </row>
    <row r="226" customFormat="false" ht="15" hidden="false" customHeight="false" outlineLevel="0" collapsed="false">
      <c r="A226" s="3"/>
      <c r="B226" s="3"/>
      <c r="C226" s="3"/>
      <c r="D226" s="3"/>
      <c r="E226" s="3"/>
    </row>
    <row r="227" customFormat="false" ht="15" hidden="false" customHeight="false" outlineLevel="0" collapsed="false">
      <c r="A227" s="3"/>
      <c r="B227" s="3"/>
      <c r="C227" s="3"/>
      <c r="D227" s="3"/>
      <c r="E227" s="3"/>
    </row>
    <row r="228" customFormat="false" ht="15" hidden="false" customHeight="false" outlineLevel="0" collapsed="false">
      <c r="A228" s="3"/>
      <c r="B228" s="3"/>
      <c r="C228" s="3"/>
      <c r="D228" s="3"/>
      <c r="E228" s="3"/>
    </row>
    <row r="229" customFormat="false" ht="15" hidden="false" customHeight="false" outlineLevel="0" collapsed="false">
      <c r="A229" s="3"/>
      <c r="B229" s="3"/>
      <c r="C229" s="3"/>
      <c r="D229" s="3"/>
      <c r="E229" s="3"/>
    </row>
    <row r="230" customFormat="false" ht="15" hidden="false" customHeight="false" outlineLevel="0" collapsed="false">
      <c r="A230" s="3"/>
      <c r="B230" s="3"/>
      <c r="C230" s="3"/>
      <c r="D230" s="3"/>
      <c r="E230" s="3"/>
    </row>
    <row r="231" customFormat="false" ht="15" hidden="false" customHeight="false" outlineLevel="0" collapsed="false">
      <c r="A231" s="3"/>
      <c r="B231" s="3"/>
      <c r="C231" s="3"/>
      <c r="D231" s="3"/>
      <c r="E231" s="3"/>
    </row>
    <row r="232" customFormat="false" ht="15" hidden="false" customHeight="false" outlineLevel="0" collapsed="false">
      <c r="A232" s="3"/>
      <c r="B232" s="3"/>
      <c r="C232" s="3"/>
      <c r="D232" s="3"/>
      <c r="E232" s="3"/>
    </row>
    <row r="233" customFormat="false" ht="15" hidden="false" customHeight="false" outlineLevel="0" collapsed="false">
      <c r="A233" s="3"/>
      <c r="B233" s="3"/>
      <c r="C233" s="3"/>
      <c r="D233" s="3"/>
      <c r="E233" s="3"/>
    </row>
    <row r="234" customFormat="false" ht="15" hidden="false" customHeight="false" outlineLevel="0" collapsed="false">
      <c r="A234" s="3"/>
      <c r="B234" s="3"/>
      <c r="C234" s="3"/>
      <c r="D234" s="3"/>
      <c r="E234" s="3"/>
    </row>
    <row r="235" customFormat="false" ht="15" hidden="false" customHeight="false" outlineLevel="0" collapsed="false">
      <c r="A235" s="3"/>
      <c r="B235" s="3"/>
      <c r="C235" s="3"/>
      <c r="D235" s="3"/>
      <c r="E235" s="3"/>
    </row>
    <row r="236" customFormat="false" ht="15" hidden="false" customHeight="false" outlineLevel="0" collapsed="false">
      <c r="A236" s="3"/>
      <c r="B236" s="3"/>
      <c r="C236" s="3"/>
      <c r="D236" s="3"/>
      <c r="E236" s="3"/>
    </row>
    <row r="237" customFormat="false" ht="15" hidden="false" customHeight="false" outlineLevel="0" collapsed="false">
      <c r="A237" s="3"/>
      <c r="B237" s="3"/>
      <c r="C237" s="3"/>
      <c r="D237" s="3"/>
      <c r="E237" s="3"/>
    </row>
    <row r="238" customFormat="false" ht="15" hidden="false" customHeight="false" outlineLevel="0" collapsed="false">
      <c r="A238" s="3"/>
      <c r="B238" s="3"/>
      <c r="C238" s="3"/>
      <c r="D238" s="3"/>
      <c r="E238" s="3"/>
    </row>
    <row r="239" customFormat="false" ht="15" hidden="false" customHeight="false" outlineLevel="0" collapsed="false">
      <c r="A239" s="3"/>
      <c r="B239" s="3"/>
      <c r="C239" s="3"/>
      <c r="D239" s="3"/>
      <c r="E239" s="3"/>
    </row>
    <row r="240" customFormat="false" ht="15" hidden="false" customHeight="false" outlineLevel="0" collapsed="false">
      <c r="A240" s="3"/>
      <c r="B240" s="3"/>
      <c r="C240" s="3"/>
      <c r="D240" s="3"/>
      <c r="E240" s="3"/>
    </row>
    <row r="241" customFormat="false" ht="15" hidden="false" customHeight="false" outlineLevel="0" collapsed="false">
      <c r="A241" s="3"/>
      <c r="B241" s="3"/>
      <c r="C241" s="3"/>
      <c r="D241" s="3"/>
      <c r="E241" s="3"/>
    </row>
    <row r="242" customFormat="false" ht="15" hidden="false" customHeight="false" outlineLevel="0" collapsed="false">
      <c r="A242" s="3"/>
      <c r="B242" s="3"/>
      <c r="C242" s="3"/>
      <c r="D242" s="3"/>
      <c r="E242" s="3"/>
    </row>
    <row r="243" customFormat="false" ht="15" hidden="false" customHeight="false" outlineLevel="0" collapsed="false">
      <c r="A243" s="3"/>
      <c r="B243" s="3"/>
      <c r="C243" s="3"/>
      <c r="D243" s="3"/>
      <c r="E243" s="3"/>
    </row>
    <row r="244" customFormat="false" ht="15" hidden="false" customHeight="false" outlineLevel="0" collapsed="false">
      <c r="A244" s="3"/>
      <c r="B244" s="3"/>
      <c r="C244" s="3"/>
      <c r="D244" s="3"/>
      <c r="E244" s="3"/>
    </row>
    <row r="245" customFormat="false" ht="15" hidden="false" customHeight="false" outlineLevel="0" collapsed="false">
      <c r="A245" s="3"/>
      <c r="B245" s="3"/>
      <c r="C245" s="3"/>
      <c r="D245" s="3"/>
      <c r="E245" s="3"/>
    </row>
    <row r="246" customFormat="false" ht="15" hidden="false" customHeight="false" outlineLevel="0" collapsed="false">
      <c r="A246" s="3"/>
      <c r="B246" s="3"/>
      <c r="C246" s="3"/>
      <c r="D246" s="3"/>
      <c r="E246" s="3"/>
    </row>
    <row r="247" customFormat="false" ht="15" hidden="false" customHeight="false" outlineLevel="0" collapsed="false">
      <c r="A247" s="3"/>
      <c r="B247" s="3"/>
      <c r="C247" s="3"/>
      <c r="D247" s="3"/>
      <c r="E247" s="3"/>
    </row>
    <row r="248" customFormat="false" ht="15" hidden="false" customHeight="false" outlineLevel="0" collapsed="false">
      <c r="A248" s="3"/>
      <c r="B248" s="3"/>
      <c r="C248" s="3"/>
      <c r="D248" s="3"/>
      <c r="E248" s="3"/>
    </row>
    <row r="249" customFormat="false" ht="15" hidden="false" customHeight="false" outlineLevel="0" collapsed="false">
      <c r="A249" s="3"/>
      <c r="B249" s="3"/>
      <c r="C249" s="3"/>
      <c r="D249" s="3"/>
      <c r="E249" s="3"/>
    </row>
    <row r="250" customFormat="false" ht="15" hidden="false" customHeight="false" outlineLevel="0" collapsed="false">
      <c r="A250" s="3"/>
      <c r="B250" s="3"/>
      <c r="C250" s="3"/>
      <c r="D250" s="3"/>
      <c r="E250" s="3"/>
    </row>
    <row r="251" customFormat="false" ht="15" hidden="false" customHeight="false" outlineLevel="0" collapsed="false">
      <c r="A251" s="3"/>
      <c r="B251" s="3"/>
      <c r="C251" s="3"/>
      <c r="D251" s="3"/>
      <c r="E251" s="3"/>
    </row>
    <row r="252" customFormat="false" ht="15" hidden="false" customHeight="false" outlineLevel="0" collapsed="false">
      <c r="A252" s="3"/>
      <c r="B252" s="3"/>
      <c r="C252" s="3"/>
      <c r="D252" s="3"/>
      <c r="E252" s="3"/>
    </row>
    <row r="253" customFormat="false" ht="15" hidden="false" customHeight="false" outlineLevel="0" collapsed="false">
      <c r="A253" s="3"/>
      <c r="B253" s="3"/>
      <c r="C253" s="3"/>
      <c r="D253" s="3"/>
      <c r="E253" s="3"/>
    </row>
    <row r="254" customFormat="false" ht="15" hidden="false" customHeight="false" outlineLevel="0" collapsed="false">
      <c r="A254" s="3"/>
      <c r="B254" s="3"/>
      <c r="C254" s="3"/>
      <c r="D254" s="3"/>
      <c r="E254" s="3"/>
    </row>
    <row r="255" customFormat="false" ht="15" hidden="false" customHeight="false" outlineLevel="0" collapsed="false">
      <c r="A255" s="3"/>
      <c r="B255" s="3"/>
      <c r="C255" s="3"/>
      <c r="D255" s="3"/>
      <c r="E255" s="3"/>
    </row>
    <row r="256" customFormat="false" ht="15" hidden="false" customHeight="false" outlineLevel="0" collapsed="false">
      <c r="A256" s="3"/>
      <c r="B256" s="3"/>
      <c r="C256" s="3"/>
      <c r="D256" s="3"/>
      <c r="E256" s="3"/>
    </row>
    <row r="257" customFormat="false" ht="15" hidden="false" customHeight="false" outlineLevel="0" collapsed="false">
      <c r="A257" s="3"/>
      <c r="B257" s="3"/>
      <c r="C257" s="3"/>
      <c r="D257" s="3"/>
      <c r="E257" s="3"/>
    </row>
    <row r="258" customFormat="false" ht="15" hidden="false" customHeight="false" outlineLevel="0" collapsed="false">
      <c r="A258" s="3"/>
      <c r="B258" s="3"/>
      <c r="C258" s="3"/>
      <c r="D258" s="3"/>
      <c r="E258" s="3"/>
    </row>
    <row r="259" customFormat="false" ht="15" hidden="false" customHeight="false" outlineLevel="0" collapsed="false">
      <c r="A259" s="3"/>
      <c r="B259" s="3"/>
      <c r="C259" s="3"/>
      <c r="D259" s="3"/>
      <c r="E259" s="3"/>
    </row>
    <row r="260" customFormat="false" ht="15" hidden="false" customHeight="false" outlineLevel="0" collapsed="false">
      <c r="A260" s="3"/>
      <c r="B260" s="3"/>
      <c r="C260" s="3"/>
      <c r="D260" s="3"/>
      <c r="E260" s="3"/>
    </row>
    <row r="261" customFormat="false" ht="15" hidden="false" customHeight="false" outlineLevel="0" collapsed="false">
      <c r="A261" s="3"/>
      <c r="B261" s="3"/>
      <c r="C261" s="3"/>
      <c r="D261" s="3"/>
      <c r="E261" s="3"/>
    </row>
    <row r="262" customFormat="false" ht="15" hidden="false" customHeight="false" outlineLevel="0" collapsed="false">
      <c r="A262" s="3"/>
      <c r="B262" s="3"/>
      <c r="C262" s="3"/>
      <c r="D262" s="3"/>
      <c r="E262" s="3"/>
    </row>
    <row r="263" customFormat="false" ht="15" hidden="false" customHeight="false" outlineLevel="0" collapsed="false">
      <c r="A263" s="3"/>
      <c r="B263" s="3"/>
      <c r="C263" s="3"/>
      <c r="D263" s="3"/>
      <c r="E263" s="3"/>
    </row>
    <row r="264" customFormat="false" ht="15" hidden="false" customHeight="false" outlineLevel="0" collapsed="false">
      <c r="A264" s="3"/>
      <c r="B264" s="3"/>
      <c r="C264" s="3"/>
      <c r="D264" s="3"/>
      <c r="E264" s="3"/>
    </row>
    <row r="265" customFormat="false" ht="15" hidden="false" customHeight="false" outlineLevel="0" collapsed="false">
      <c r="A265" s="3"/>
      <c r="B265" s="3"/>
      <c r="C265" s="3"/>
      <c r="D265" s="3"/>
      <c r="E265" s="3"/>
    </row>
    <row r="266" customFormat="false" ht="15" hidden="false" customHeight="false" outlineLevel="0" collapsed="false">
      <c r="A266" s="3"/>
      <c r="B266" s="3"/>
      <c r="C266" s="3"/>
      <c r="D266" s="3"/>
      <c r="E266" s="3"/>
    </row>
    <row r="267" customFormat="false" ht="15" hidden="false" customHeight="false" outlineLevel="0" collapsed="false">
      <c r="A267" s="3"/>
      <c r="B267" s="3"/>
      <c r="C267" s="3"/>
      <c r="D267" s="3"/>
      <c r="E267" s="3"/>
    </row>
    <row r="268" customFormat="false" ht="15" hidden="false" customHeight="false" outlineLevel="0" collapsed="false">
      <c r="A268" s="3"/>
      <c r="B268" s="3"/>
      <c r="C268" s="3"/>
      <c r="D268" s="3"/>
      <c r="E268" s="3"/>
    </row>
    <row r="269" customFormat="false" ht="15" hidden="false" customHeight="false" outlineLevel="0" collapsed="false">
      <c r="A269" s="3"/>
      <c r="B269" s="3"/>
      <c r="C269" s="3"/>
      <c r="D269" s="3"/>
      <c r="E269" s="3"/>
    </row>
    <row r="270" customFormat="false" ht="15" hidden="false" customHeight="false" outlineLevel="0" collapsed="false">
      <c r="A270" s="3"/>
      <c r="B270" s="3"/>
      <c r="C270" s="3"/>
      <c r="D270" s="3"/>
      <c r="E270" s="3"/>
    </row>
    <row r="271" customFormat="false" ht="15" hidden="false" customHeight="false" outlineLevel="0" collapsed="false">
      <c r="A271" s="3"/>
      <c r="B271" s="3"/>
      <c r="C271" s="3"/>
      <c r="D271" s="3"/>
      <c r="E271" s="3"/>
    </row>
    <row r="272" customFormat="false" ht="15" hidden="false" customHeight="false" outlineLevel="0" collapsed="false">
      <c r="A272" s="3"/>
      <c r="B272" s="3"/>
      <c r="C272" s="3"/>
      <c r="D272" s="3"/>
      <c r="E272" s="3"/>
    </row>
    <row r="273" customFormat="false" ht="15" hidden="false" customHeight="false" outlineLevel="0" collapsed="false">
      <c r="A273" s="3"/>
      <c r="B273" s="3"/>
      <c r="C273" s="3"/>
      <c r="D273" s="3"/>
      <c r="E273" s="3"/>
    </row>
    <row r="274" customFormat="false" ht="15" hidden="false" customHeight="false" outlineLevel="0" collapsed="false">
      <c r="A274" s="3"/>
      <c r="B274" s="3"/>
      <c r="C274" s="3"/>
      <c r="D274" s="3"/>
      <c r="E274" s="3"/>
    </row>
    <row r="275" customFormat="false" ht="15" hidden="false" customHeight="false" outlineLevel="0" collapsed="false">
      <c r="A275" s="3"/>
      <c r="B275" s="3"/>
      <c r="C275" s="3"/>
      <c r="D275" s="3"/>
      <c r="E275" s="3"/>
    </row>
    <row r="276" customFormat="false" ht="15" hidden="false" customHeight="false" outlineLevel="0" collapsed="false">
      <c r="A276" s="3"/>
      <c r="B276" s="3"/>
      <c r="C276" s="3"/>
      <c r="D276" s="3"/>
      <c r="E276" s="3"/>
    </row>
    <row r="277" customFormat="false" ht="15" hidden="false" customHeight="false" outlineLevel="0" collapsed="false">
      <c r="A277" s="3"/>
      <c r="B277" s="3"/>
      <c r="C277" s="3"/>
      <c r="D277" s="3"/>
      <c r="E277" s="3"/>
    </row>
    <row r="278" customFormat="false" ht="15" hidden="false" customHeight="false" outlineLevel="0" collapsed="false">
      <c r="A278" s="3"/>
      <c r="B278" s="3"/>
      <c r="C278" s="3"/>
      <c r="D278" s="3"/>
      <c r="E278" s="3"/>
    </row>
    <row r="279" customFormat="false" ht="15" hidden="false" customHeight="false" outlineLevel="0" collapsed="false">
      <c r="A279" s="3"/>
      <c r="B279" s="3"/>
      <c r="C279" s="3"/>
      <c r="D279" s="3"/>
      <c r="E279" s="3"/>
    </row>
    <row r="280" customFormat="false" ht="15" hidden="false" customHeight="false" outlineLevel="0" collapsed="false">
      <c r="A280" s="3"/>
      <c r="B280" s="3"/>
      <c r="C280" s="3"/>
      <c r="D280" s="3"/>
      <c r="E280" s="3"/>
    </row>
    <row r="281" customFormat="false" ht="15" hidden="false" customHeight="false" outlineLevel="0" collapsed="false">
      <c r="A281" s="3"/>
      <c r="B281" s="3"/>
      <c r="C281" s="3"/>
      <c r="D281" s="3"/>
      <c r="E281" s="3"/>
    </row>
    <row r="282" customFormat="false" ht="15" hidden="false" customHeight="false" outlineLevel="0" collapsed="false">
      <c r="A282" s="3"/>
      <c r="B282" s="3"/>
      <c r="C282" s="3"/>
      <c r="D282" s="3"/>
      <c r="E282" s="3"/>
    </row>
    <row r="283" customFormat="false" ht="15" hidden="false" customHeight="false" outlineLevel="0" collapsed="false">
      <c r="A283" s="3"/>
      <c r="B283" s="3"/>
      <c r="C283" s="3"/>
      <c r="D283" s="3"/>
      <c r="E283" s="3"/>
    </row>
    <row r="284" customFormat="false" ht="15" hidden="false" customHeight="false" outlineLevel="0" collapsed="false">
      <c r="A284" s="3"/>
      <c r="B284" s="3"/>
      <c r="C284" s="3"/>
      <c r="D284" s="3"/>
      <c r="E284" s="3"/>
    </row>
    <row r="285" customFormat="false" ht="15" hidden="false" customHeight="false" outlineLevel="0" collapsed="false">
      <c r="A285" s="3"/>
      <c r="B285" s="3"/>
      <c r="C285" s="3"/>
      <c r="D285" s="3"/>
      <c r="E285" s="3"/>
    </row>
    <row r="286" customFormat="false" ht="15" hidden="false" customHeight="false" outlineLevel="0" collapsed="false">
      <c r="A286" s="3"/>
      <c r="B286" s="3"/>
      <c r="C286" s="3"/>
      <c r="D286" s="3"/>
      <c r="E286" s="3"/>
    </row>
    <row r="287" customFormat="false" ht="15" hidden="false" customHeight="false" outlineLevel="0" collapsed="false">
      <c r="A287" s="3"/>
      <c r="B287" s="3"/>
      <c r="C287" s="3"/>
      <c r="D287" s="3"/>
      <c r="E287" s="3"/>
    </row>
    <row r="288" customFormat="false" ht="15" hidden="false" customHeight="false" outlineLevel="0" collapsed="false">
      <c r="A288" s="3"/>
      <c r="B288" s="3"/>
      <c r="C288" s="3"/>
      <c r="D288" s="3"/>
      <c r="E288" s="3"/>
    </row>
    <row r="289" customFormat="false" ht="15" hidden="false" customHeight="false" outlineLevel="0" collapsed="false">
      <c r="A289" s="3"/>
      <c r="B289" s="3"/>
      <c r="C289" s="3"/>
      <c r="D289" s="3"/>
      <c r="E289" s="3"/>
    </row>
    <row r="290" customFormat="false" ht="15" hidden="false" customHeight="false" outlineLevel="0" collapsed="false">
      <c r="A290" s="3"/>
      <c r="B290" s="3"/>
      <c r="C290" s="3"/>
      <c r="D290" s="3"/>
      <c r="E290" s="3"/>
    </row>
    <row r="291" customFormat="false" ht="15" hidden="false" customHeight="false" outlineLevel="0" collapsed="false">
      <c r="A291" s="3"/>
      <c r="B291" s="3"/>
      <c r="C291" s="3"/>
      <c r="D291" s="3"/>
      <c r="E291" s="3"/>
    </row>
    <row r="292" customFormat="false" ht="15" hidden="false" customHeight="false" outlineLevel="0" collapsed="false">
      <c r="A292" s="3"/>
      <c r="B292" s="3"/>
      <c r="C292" s="3"/>
      <c r="D292" s="3"/>
      <c r="E292" s="3"/>
    </row>
    <row r="293" customFormat="false" ht="15" hidden="false" customHeight="false" outlineLevel="0" collapsed="false">
      <c r="A293" s="3"/>
      <c r="B293" s="3"/>
      <c r="C293" s="3"/>
      <c r="D293" s="3"/>
      <c r="E293" s="3"/>
    </row>
    <row r="294" customFormat="false" ht="15" hidden="false" customHeight="false" outlineLevel="0" collapsed="false">
      <c r="A294" s="3"/>
      <c r="B294" s="3"/>
      <c r="C294" s="3"/>
      <c r="D294" s="3"/>
      <c r="E294" s="3"/>
    </row>
    <row r="295" customFormat="false" ht="15" hidden="false" customHeight="false" outlineLevel="0" collapsed="false">
      <c r="A295" s="3"/>
      <c r="B295" s="3"/>
      <c r="C295" s="3"/>
      <c r="D295" s="3"/>
      <c r="E295" s="3"/>
    </row>
    <row r="296" customFormat="false" ht="15" hidden="false" customHeight="false" outlineLevel="0" collapsed="false">
      <c r="A296" s="3"/>
      <c r="B296" s="3"/>
      <c r="C296" s="3"/>
      <c r="D296" s="3"/>
      <c r="E296" s="3"/>
    </row>
    <row r="297" customFormat="false" ht="15" hidden="false" customHeight="false" outlineLevel="0" collapsed="false">
      <c r="A297" s="3"/>
      <c r="B297" s="3"/>
      <c r="C297" s="3"/>
      <c r="D297" s="3"/>
      <c r="E297" s="3"/>
    </row>
    <row r="298" customFormat="false" ht="15" hidden="false" customHeight="false" outlineLevel="0" collapsed="false">
      <c r="A298" s="3"/>
      <c r="B298" s="3"/>
      <c r="C298" s="3"/>
      <c r="D298" s="3"/>
      <c r="E298" s="3"/>
    </row>
    <row r="299" customFormat="false" ht="15" hidden="false" customHeight="false" outlineLevel="0" collapsed="false">
      <c r="A299" s="3"/>
      <c r="B299" s="3"/>
      <c r="C299" s="3"/>
      <c r="D299" s="3"/>
      <c r="E299" s="3"/>
    </row>
    <row r="300" customFormat="false" ht="15" hidden="false" customHeight="false" outlineLevel="0" collapsed="false">
      <c r="A300" s="3"/>
      <c r="B300" s="3"/>
      <c r="C300" s="3"/>
      <c r="D300" s="3"/>
      <c r="E300" s="3"/>
    </row>
    <row r="301" customFormat="false" ht="15" hidden="false" customHeight="false" outlineLevel="0" collapsed="false">
      <c r="A301" s="3"/>
      <c r="B301" s="3"/>
      <c r="C301" s="3"/>
      <c r="D301" s="3"/>
      <c r="E301" s="3"/>
    </row>
    <row r="302" customFormat="false" ht="15" hidden="false" customHeight="false" outlineLevel="0" collapsed="false">
      <c r="A302" s="3"/>
      <c r="B302" s="3"/>
      <c r="C302" s="3"/>
      <c r="D302" s="3"/>
      <c r="E302" s="3"/>
    </row>
    <row r="303" customFormat="false" ht="15" hidden="false" customHeight="false" outlineLevel="0" collapsed="false">
      <c r="A303" s="3"/>
      <c r="B303" s="3"/>
      <c r="C303" s="3"/>
      <c r="D303" s="3"/>
      <c r="E303" s="3"/>
    </row>
    <row r="304" customFormat="false" ht="15" hidden="false" customHeight="false" outlineLevel="0" collapsed="false">
      <c r="A304" s="3"/>
      <c r="B304" s="3"/>
      <c r="C304" s="3"/>
      <c r="D304" s="3"/>
      <c r="E304" s="3"/>
    </row>
    <row r="305" customFormat="false" ht="15" hidden="false" customHeight="false" outlineLevel="0" collapsed="false">
      <c r="A305" s="3"/>
      <c r="B305" s="3"/>
      <c r="C305" s="3"/>
      <c r="D305" s="3"/>
      <c r="E305" s="3"/>
    </row>
    <row r="306" customFormat="false" ht="15" hidden="false" customHeight="false" outlineLevel="0" collapsed="false">
      <c r="A306" s="3"/>
      <c r="B306" s="3"/>
      <c r="C306" s="3"/>
      <c r="D306" s="3"/>
      <c r="E306" s="3"/>
    </row>
    <row r="307" customFormat="false" ht="15" hidden="false" customHeight="false" outlineLevel="0" collapsed="false">
      <c r="A307" s="3"/>
      <c r="B307" s="3"/>
      <c r="C307" s="3"/>
      <c r="D307" s="3"/>
      <c r="E307" s="3"/>
    </row>
    <row r="308" customFormat="false" ht="15" hidden="false" customHeight="false" outlineLevel="0" collapsed="false">
      <c r="A308" s="3"/>
      <c r="B308" s="3"/>
      <c r="C308" s="3"/>
      <c r="D308" s="3"/>
      <c r="E308" s="3"/>
    </row>
    <row r="309" customFormat="false" ht="15" hidden="false" customHeight="false" outlineLevel="0" collapsed="false">
      <c r="A309" s="3"/>
      <c r="B309" s="3"/>
      <c r="C309" s="3"/>
      <c r="D309" s="3"/>
      <c r="E309" s="3"/>
    </row>
    <row r="310" customFormat="false" ht="15" hidden="false" customHeight="false" outlineLevel="0" collapsed="false">
      <c r="A310" s="3"/>
      <c r="B310" s="3"/>
      <c r="C310" s="3"/>
      <c r="D310" s="3"/>
      <c r="E310" s="3"/>
    </row>
    <row r="311" customFormat="false" ht="15" hidden="false" customHeight="false" outlineLevel="0" collapsed="false">
      <c r="A311" s="3"/>
      <c r="B311" s="3"/>
      <c r="C311" s="3"/>
      <c r="D311" s="3"/>
      <c r="E311" s="3"/>
    </row>
    <row r="312" customFormat="false" ht="15" hidden="false" customHeight="false" outlineLevel="0" collapsed="false">
      <c r="A312" s="3"/>
      <c r="B312" s="3"/>
      <c r="C312" s="3"/>
      <c r="D312" s="3"/>
      <c r="E312" s="3"/>
    </row>
    <row r="313" customFormat="false" ht="15" hidden="false" customHeight="false" outlineLevel="0" collapsed="false">
      <c r="A313" s="3"/>
      <c r="B313" s="3"/>
      <c r="C313" s="3"/>
      <c r="D313" s="3"/>
      <c r="E313" s="3"/>
    </row>
    <row r="314" customFormat="false" ht="15" hidden="false" customHeight="false" outlineLevel="0" collapsed="false">
      <c r="A314" s="3"/>
      <c r="B314" s="3"/>
      <c r="C314" s="3"/>
      <c r="D314" s="3"/>
      <c r="E314" s="3"/>
    </row>
    <row r="315" customFormat="false" ht="15" hidden="false" customHeight="false" outlineLevel="0" collapsed="false">
      <c r="A315" s="3"/>
      <c r="B315" s="3"/>
      <c r="C315" s="3"/>
      <c r="D315" s="3"/>
      <c r="E315" s="3"/>
    </row>
    <row r="316" customFormat="false" ht="15" hidden="false" customHeight="false" outlineLevel="0" collapsed="false">
      <c r="A316" s="3"/>
      <c r="B316" s="3"/>
      <c r="C316" s="3"/>
      <c r="D316" s="3"/>
      <c r="E316" s="3"/>
    </row>
    <row r="317" customFormat="false" ht="15" hidden="false" customHeight="false" outlineLevel="0" collapsed="false">
      <c r="A317" s="3"/>
      <c r="B317" s="3"/>
      <c r="C317" s="3"/>
      <c r="D317" s="3"/>
      <c r="E317" s="3"/>
    </row>
    <row r="318" customFormat="false" ht="15" hidden="false" customHeight="false" outlineLevel="0" collapsed="false">
      <c r="A318" s="3"/>
      <c r="B318" s="3"/>
      <c r="C318" s="3"/>
      <c r="D318" s="3"/>
      <c r="E318" s="3"/>
    </row>
    <row r="319" customFormat="false" ht="15" hidden="false" customHeight="false" outlineLevel="0" collapsed="false">
      <c r="A319" s="3"/>
      <c r="B319" s="3"/>
      <c r="C319" s="3"/>
      <c r="D319" s="3"/>
      <c r="E319" s="3"/>
    </row>
    <row r="320" customFormat="false" ht="15" hidden="false" customHeight="false" outlineLevel="0" collapsed="false">
      <c r="A320" s="3"/>
      <c r="B320" s="3"/>
      <c r="C320" s="3"/>
      <c r="D320" s="3"/>
      <c r="E320" s="3"/>
    </row>
    <row r="321" customFormat="false" ht="15" hidden="false" customHeight="false" outlineLevel="0" collapsed="false">
      <c r="A321" s="3"/>
      <c r="B321" s="3"/>
      <c r="C321" s="3"/>
      <c r="D321" s="3"/>
      <c r="E321" s="3"/>
    </row>
    <row r="322" customFormat="false" ht="15" hidden="false" customHeight="false" outlineLevel="0" collapsed="false">
      <c r="A322" s="3"/>
      <c r="B322" s="3"/>
      <c r="C322" s="3"/>
      <c r="D322" s="3"/>
      <c r="E322" s="3"/>
    </row>
    <row r="323" customFormat="false" ht="15" hidden="false" customHeight="false" outlineLevel="0" collapsed="false">
      <c r="A323" s="3"/>
      <c r="B323" s="3"/>
      <c r="C323" s="3"/>
      <c r="D323" s="3"/>
      <c r="E323" s="3"/>
    </row>
    <row r="324" customFormat="false" ht="15" hidden="false" customHeight="false" outlineLevel="0" collapsed="false">
      <c r="A324" s="3"/>
      <c r="B324" s="3"/>
      <c r="C324" s="3"/>
      <c r="D324" s="3"/>
      <c r="E324" s="3"/>
    </row>
    <row r="325" customFormat="false" ht="15" hidden="false" customHeight="false" outlineLevel="0" collapsed="false">
      <c r="A325" s="3"/>
      <c r="B325" s="3"/>
      <c r="C325" s="3"/>
      <c r="D325" s="3"/>
      <c r="E325" s="3"/>
    </row>
    <row r="326" customFormat="false" ht="15" hidden="false" customHeight="false" outlineLevel="0" collapsed="false">
      <c r="A326" s="3"/>
      <c r="B326" s="3"/>
      <c r="C326" s="3"/>
      <c r="D326" s="3"/>
      <c r="E326" s="3"/>
    </row>
    <row r="327" customFormat="false" ht="15" hidden="false" customHeight="false" outlineLevel="0" collapsed="false">
      <c r="A327" s="3"/>
      <c r="B327" s="3"/>
      <c r="C327" s="3"/>
      <c r="D327" s="3"/>
      <c r="E327" s="3"/>
    </row>
    <row r="328" customFormat="false" ht="15" hidden="false" customHeight="false" outlineLevel="0" collapsed="false">
      <c r="A328" s="3"/>
      <c r="B328" s="3"/>
      <c r="C328" s="3"/>
      <c r="D328" s="3"/>
      <c r="E328" s="3"/>
    </row>
    <row r="329" customFormat="false" ht="15" hidden="false" customHeight="false" outlineLevel="0" collapsed="false">
      <c r="A329" s="3"/>
      <c r="B329" s="3"/>
      <c r="C329" s="3"/>
      <c r="D329" s="3"/>
      <c r="E329" s="3"/>
    </row>
    <row r="330" customFormat="false" ht="15" hidden="false" customHeight="false" outlineLevel="0" collapsed="false">
      <c r="A330" s="3"/>
      <c r="B330" s="3"/>
      <c r="C330" s="3"/>
      <c r="D330" s="3"/>
      <c r="E330" s="3"/>
    </row>
    <row r="331" customFormat="false" ht="15" hidden="false" customHeight="false" outlineLevel="0" collapsed="false">
      <c r="A331" s="3"/>
      <c r="B331" s="3"/>
      <c r="C331" s="3"/>
      <c r="D331" s="3"/>
      <c r="E331" s="3"/>
    </row>
    <row r="332" customFormat="false" ht="15" hidden="false" customHeight="false" outlineLevel="0" collapsed="false">
      <c r="A332" s="3"/>
      <c r="B332" s="3"/>
      <c r="C332" s="3"/>
      <c r="D332" s="3"/>
      <c r="E332" s="3"/>
    </row>
    <row r="333" customFormat="false" ht="15" hidden="false" customHeight="false" outlineLevel="0" collapsed="false">
      <c r="A333" s="3"/>
      <c r="B333" s="3"/>
      <c r="C333" s="3"/>
      <c r="D333" s="3"/>
      <c r="E333" s="3"/>
    </row>
    <row r="334" customFormat="false" ht="15" hidden="false" customHeight="false" outlineLevel="0" collapsed="false">
      <c r="A334" s="3"/>
      <c r="B334" s="3"/>
      <c r="C334" s="3"/>
      <c r="D334" s="3"/>
      <c r="E334" s="3"/>
    </row>
    <row r="335" customFormat="false" ht="15" hidden="false" customHeight="false" outlineLevel="0" collapsed="false">
      <c r="A335" s="3"/>
      <c r="B335" s="3"/>
      <c r="C335" s="3"/>
      <c r="D335" s="3"/>
      <c r="E335" s="3"/>
    </row>
    <row r="336" customFormat="false" ht="15" hidden="false" customHeight="false" outlineLevel="0" collapsed="false">
      <c r="A336" s="3"/>
      <c r="B336" s="3"/>
      <c r="C336" s="3"/>
      <c r="D336" s="3"/>
      <c r="E336" s="3"/>
    </row>
    <row r="337" customFormat="false" ht="15" hidden="false" customHeight="false" outlineLevel="0" collapsed="false">
      <c r="A337" s="3"/>
      <c r="B337" s="3"/>
      <c r="C337" s="3"/>
      <c r="D337" s="3"/>
      <c r="E337" s="3"/>
    </row>
    <row r="338" customFormat="false" ht="15" hidden="false" customHeight="false" outlineLevel="0" collapsed="false">
      <c r="A338" s="3"/>
      <c r="B338" s="3"/>
      <c r="C338" s="3"/>
      <c r="D338" s="3"/>
      <c r="E338" s="3"/>
    </row>
    <row r="339" customFormat="false" ht="15" hidden="false" customHeight="false" outlineLevel="0" collapsed="false">
      <c r="A339" s="3"/>
      <c r="B339" s="3"/>
      <c r="C339" s="3"/>
      <c r="D339" s="3"/>
      <c r="E339" s="3"/>
    </row>
    <row r="340" customFormat="false" ht="15" hidden="false" customHeight="false" outlineLevel="0" collapsed="false">
      <c r="A340" s="3"/>
      <c r="B340" s="3"/>
      <c r="C340" s="3"/>
      <c r="D340" s="3"/>
      <c r="E340" s="3"/>
    </row>
    <row r="341" customFormat="false" ht="15" hidden="false" customHeight="false" outlineLevel="0" collapsed="false">
      <c r="A341" s="3"/>
      <c r="B341" s="3"/>
      <c r="C341" s="3"/>
      <c r="D341" s="3"/>
      <c r="E341" s="3"/>
    </row>
    <row r="342" customFormat="false" ht="15" hidden="false" customHeight="false" outlineLevel="0" collapsed="false">
      <c r="A342" s="3"/>
      <c r="B342" s="3"/>
      <c r="C342" s="3"/>
      <c r="D342" s="3"/>
      <c r="E342" s="3"/>
    </row>
    <row r="343" customFormat="false" ht="15" hidden="false" customHeight="false" outlineLevel="0" collapsed="false">
      <c r="A343" s="3"/>
      <c r="B343" s="3"/>
      <c r="C343" s="3"/>
      <c r="D343" s="3"/>
      <c r="E343" s="3"/>
    </row>
    <row r="344" customFormat="false" ht="15" hidden="false" customHeight="false" outlineLevel="0" collapsed="false">
      <c r="A344" s="3"/>
      <c r="B344" s="3"/>
      <c r="C344" s="3"/>
      <c r="D344" s="3"/>
      <c r="E344" s="3"/>
    </row>
    <row r="345" customFormat="false" ht="15" hidden="false" customHeight="false" outlineLevel="0" collapsed="false">
      <c r="A345" s="3"/>
      <c r="B345" s="3"/>
      <c r="C345" s="3"/>
      <c r="D345" s="3"/>
      <c r="E345" s="3"/>
    </row>
    <row r="346" customFormat="false" ht="15" hidden="false" customHeight="false" outlineLevel="0" collapsed="false">
      <c r="A346" s="3"/>
      <c r="B346" s="3"/>
      <c r="C346" s="3"/>
      <c r="D346" s="3"/>
      <c r="E346" s="3"/>
    </row>
    <row r="347" customFormat="false" ht="15" hidden="false" customHeight="false" outlineLevel="0" collapsed="false">
      <c r="A347" s="3"/>
      <c r="B347" s="3"/>
      <c r="C347" s="3"/>
      <c r="D347" s="3"/>
      <c r="E347" s="3"/>
    </row>
    <row r="348" customFormat="false" ht="15" hidden="false" customHeight="false" outlineLevel="0" collapsed="false">
      <c r="A348" s="3"/>
      <c r="B348" s="3"/>
      <c r="C348" s="3"/>
      <c r="D348" s="3"/>
      <c r="E348" s="3"/>
    </row>
    <row r="349" customFormat="false" ht="15" hidden="false" customHeight="false" outlineLevel="0" collapsed="false">
      <c r="A349" s="3"/>
      <c r="B349" s="3"/>
      <c r="C349" s="3"/>
      <c r="D349" s="3"/>
      <c r="E349" s="3"/>
    </row>
    <row r="350" customFormat="false" ht="15" hidden="false" customHeight="false" outlineLevel="0" collapsed="false">
      <c r="A350" s="3"/>
      <c r="B350" s="3"/>
      <c r="C350" s="3"/>
      <c r="D350" s="3"/>
      <c r="E350" s="3"/>
    </row>
    <row r="351" customFormat="false" ht="15" hidden="false" customHeight="false" outlineLevel="0" collapsed="false">
      <c r="A351" s="3"/>
      <c r="B351" s="3"/>
      <c r="C351" s="3"/>
      <c r="D351" s="3"/>
      <c r="E351" s="3"/>
    </row>
    <row r="352" customFormat="false" ht="15" hidden="false" customHeight="false" outlineLevel="0" collapsed="false">
      <c r="A352" s="3"/>
      <c r="B352" s="3"/>
      <c r="C352" s="3"/>
      <c r="D352" s="3"/>
      <c r="E352" s="3"/>
    </row>
    <row r="353" customFormat="false" ht="15" hidden="false" customHeight="false" outlineLevel="0" collapsed="false">
      <c r="A353" s="3"/>
      <c r="B353" s="3"/>
      <c r="C353" s="3"/>
      <c r="D353" s="3"/>
      <c r="E353" s="3"/>
    </row>
    <row r="354" customFormat="false" ht="15" hidden="false" customHeight="false" outlineLevel="0" collapsed="false">
      <c r="A354" s="3"/>
      <c r="B354" s="3"/>
      <c r="C354" s="3"/>
      <c r="D354" s="3"/>
      <c r="E354" s="3"/>
    </row>
    <row r="355" customFormat="false" ht="15" hidden="false" customHeight="false" outlineLevel="0" collapsed="false">
      <c r="A355" s="3"/>
      <c r="B355" s="3"/>
      <c r="C355" s="3"/>
      <c r="D355" s="3"/>
      <c r="E355" s="3"/>
    </row>
    <row r="356" customFormat="false" ht="15" hidden="false" customHeight="false" outlineLevel="0" collapsed="false">
      <c r="A356" s="3"/>
      <c r="B356" s="3"/>
      <c r="C356" s="3"/>
      <c r="D356" s="3"/>
      <c r="E356" s="3"/>
    </row>
    <row r="357" customFormat="false" ht="15" hidden="false" customHeight="false" outlineLevel="0" collapsed="false">
      <c r="A357" s="3"/>
      <c r="B357" s="3"/>
      <c r="C357" s="3"/>
      <c r="D357" s="3"/>
      <c r="E357" s="3"/>
    </row>
    <row r="358" customFormat="false" ht="15" hidden="false" customHeight="false" outlineLevel="0" collapsed="false">
      <c r="A358" s="3"/>
      <c r="B358" s="3"/>
      <c r="C358" s="3"/>
      <c r="D358" s="3"/>
      <c r="E358" s="3"/>
    </row>
    <row r="359" customFormat="false" ht="15" hidden="false" customHeight="false" outlineLevel="0" collapsed="false">
      <c r="A359" s="3"/>
      <c r="B359" s="3"/>
      <c r="C359" s="3"/>
      <c r="D359" s="3"/>
      <c r="E359" s="3"/>
    </row>
    <row r="360" customFormat="false" ht="15" hidden="false" customHeight="false" outlineLevel="0" collapsed="false">
      <c r="A360" s="3"/>
      <c r="B360" s="3"/>
      <c r="C360" s="3"/>
      <c r="D360" s="3"/>
      <c r="E360" s="3"/>
    </row>
    <row r="361" customFormat="false" ht="15" hidden="false" customHeight="false" outlineLevel="0" collapsed="false">
      <c r="A361" s="3"/>
      <c r="B361" s="3"/>
      <c r="C361" s="3"/>
      <c r="D361" s="3"/>
      <c r="E361" s="3"/>
    </row>
    <row r="362" customFormat="false" ht="15" hidden="false" customHeight="false" outlineLevel="0" collapsed="false">
      <c r="A362" s="3"/>
      <c r="B362" s="3"/>
      <c r="C362" s="3"/>
      <c r="D362" s="3"/>
      <c r="E362" s="3"/>
    </row>
    <row r="363" customFormat="false" ht="15" hidden="false" customHeight="false" outlineLevel="0" collapsed="false">
      <c r="A363" s="3"/>
      <c r="B363" s="3"/>
      <c r="C363" s="3"/>
      <c r="D363" s="3"/>
      <c r="E363" s="3"/>
    </row>
    <row r="364" customFormat="false" ht="15" hidden="false" customHeight="false" outlineLevel="0" collapsed="false">
      <c r="A364" s="3"/>
      <c r="B364" s="3"/>
      <c r="C364" s="3"/>
      <c r="D364" s="3"/>
      <c r="E364" s="3"/>
    </row>
    <row r="365" customFormat="false" ht="15" hidden="false" customHeight="false" outlineLevel="0" collapsed="false">
      <c r="A365" s="3"/>
      <c r="B365" s="3"/>
      <c r="C365" s="3"/>
      <c r="D365" s="3"/>
      <c r="E365" s="3"/>
    </row>
    <row r="366" customFormat="false" ht="15" hidden="false" customHeight="false" outlineLevel="0" collapsed="false">
      <c r="A366" s="3"/>
      <c r="B366" s="3"/>
      <c r="C366" s="3"/>
      <c r="D366" s="3"/>
      <c r="E366" s="3"/>
    </row>
    <row r="367" customFormat="false" ht="15" hidden="false" customHeight="false" outlineLevel="0" collapsed="false">
      <c r="A367" s="3"/>
      <c r="B367" s="3"/>
      <c r="C367" s="3"/>
      <c r="D367" s="3"/>
      <c r="E367" s="3"/>
    </row>
    <row r="368" customFormat="false" ht="15" hidden="false" customHeight="false" outlineLevel="0" collapsed="false">
      <c r="A368" s="3"/>
      <c r="B368" s="3"/>
      <c r="C368" s="3"/>
      <c r="D368" s="3"/>
      <c r="E368" s="3"/>
    </row>
    <row r="369" customFormat="false" ht="15" hidden="false" customHeight="false" outlineLevel="0" collapsed="false">
      <c r="A369" s="3"/>
      <c r="B369" s="3"/>
      <c r="C369" s="3"/>
      <c r="D369" s="3"/>
      <c r="E369" s="3"/>
    </row>
    <row r="370" customFormat="false" ht="15" hidden="false" customHeight="false" outlineLevel="0" collapsed="false">
      <c r="A370" s="3"/>
      <c r="B370" s="3"/>
      <c r="C370" s="3"/>
      <c r="D370" s="3"/>
      <c r="E370" s="3"/>
    </row>
    <row r="371" customFormat="false" ht="15" hidden="false" customHeight="false" outlineLevel="0" collapsed="false">
      <c r="A371" s="3"/>
      <c r="B371" s="3"/>
      <c r="C371" s="3"/>
      <c r="D371" s="3"/>
      <c r="E371" s="3"/>
    </row>
    <row r="372" customFormat="false" ht="15" hidden="false" customHeight="false" outlineLevel="0" collapsed="false">
      <c r="A372" s="3"/>
      <c r="B372" s="3"/>
      <c r="C372" s="3"/>
      <c r="D372" s="3"/>
      <c r="E372" s="3"/>
    </row>
    <row r="373" customFormat="false" ht="15" hidden="false" customHeight="false" outlineLevel="0" collapsed="false">
      <c r="A373" s="3"/>
      <c r="B373" s="3"/>
      <c r="C373" s="3"/>
      <c r="D373" s="3"/>
      <c r="E373" s="3"/>
    </row>
    <row r="374" customFormat="false" ht="15" hidden="false" customHeight="false" outlineLevel="0" collapsed="false">
      <c r="A374" s="3"/>
      <c r="B374" s="3"/>
      <c r="C374" s="3"/>
      <c r="D374" s="3"/>
      <c r="E374" s="3"/>
    </row>
    <row r="375" customFormat="false" ht="15" hidden="false" customHeight="false" outlineLevel="0" collapsed="false">
      <c r="A375" s="3"/>
      <c r="B375" s="3"/>
      <c r="C375" s="3"/>
      <c r="D375" s="3"/>
      <c r="E375" s="3"/>
    </row>
    <row r="376" customFormat="false" ht="15" hidden="false" customHeight="false" outlineLevel="0" collapsed="false">
      <c r="A376" s="3"/>
      <c r="B376" s="3"/>
      <c r="C376" s="3"/>
      <c r="D376" s="3"/>
      <c r="E376" s="3"/>
    </row>
    <row r="377" customFormat="false" ht="15" hidden="false" customHeight="false" outlineLevel="0" collapsed="false">
      <c r="A377" s="3"/>
      <c r="B377" s="3"/>
      <c r="C377" s="3"/>
      <c r="D377" s="3"/>
      <c r="E377" s="3"/>
    </row>
    <row r="378" customFormat="false" ht="15" hidden="false" customHeight="false" outlineLevel="0" collapsed="false">
      <c r="A378" s="3"/>
      <c r="B378" s="3"/>
      <c r="C378" s="3"/>
      <c r="D378" s="3"/>
      <c r="E378" s="3"/>
    </row>
    <row r="379" customFormat="false" ht="15" hidden="false" customHeight="false" outlineLevel="0" collapsed="false">
      <c r="A379" s="3"/>
      <c r="B379" s="3"/>
      <c r="C379" s="3"/>
      <c r="D379" s="3"/>
      <c r="E379" s="3"/>
    </row>
    <row r="380" customFormat="false" ht="15" hidden="false" customHeight="false" outlineLevel="0" collapsed="false">
      <c r="A380" s="3"/>
      <c r="B380" s="3"/>
      <c r="C380" s="3"/>
      <c r="D380" s="3"/>
      <c r="E380" s="3"/>
    </row>
    <row r="381" customFormat="false" ht="15" hidden="false" customHeight="false" outlineLevel="0" collapsed="false">
      <c r="A381" s="3"/>
      <c r="B381" s="3"/>
      <c r="C381" s="3"/>
      <c r="D381" s="3"/>
      <c r="E381" s="3"/>
    </row>
    <row r="382" customFormat="false" ht="15" hidden="false" customHeight="false" outlineLevel="0" collapsed="false">
      <c r="A382" s="3"/>
      <c r="B382" s="3"/>
      <c r="C382" s="3"/>
      <c r="D382" s="3"/>
      <c r="E382" s="3"/>
    </row>
    <row r="383" customFormat="false" ht="15" hidden="false" customHeight="false" outlineLevel="0" collapsed="false">
      <c r="A383" s="3"/>
      <c r="B383" s="3"/>
      <c r="C383" s="3"/>
      <c r="D383" s="3"/>
      <c r="E383" s="3"/>
    </row>
    <row r="384" customFormat="false" ht="15" hidden="false" customHeight="false" outlineLevel="0" collapsed="false">
      <c r="A384" s="3"/>
      <c r="B384" s="3"/>
      <c r="C384" s="3"/>
      <c r="D384" s="3"/>
      <c r="E384" s="3"/>
    </row>
    <row r="385" customFormat="false" ht="15" hidden="false" customHeight="false" outlineLevel="0" collapsed="false">
      <c r="A385" s="3"/>
      <c r="B385" s="3"/>
      <c r="C385" s="3"/>
      <c r="D385" s="3"/>
      <c r="E385" s="3"/>
    </row>
    <row r="386" customFormat="false" ht="15" hidden="false" customHeight="false" outlineLevel="0" collapsed="false">
      <c r="A386" s="3"/>
      <c r="B386" s="3"/>
      <c r="C386" s="3"/>
      <c r="D386" s="3"/>
      <c r="E386" s="3"/>
    </row>
    <row r="387" customFormat="false" ht="15" hidden="false" customHeight="false" outlineLevel="0" collapsed="false">
      <c r="A387" s="3"/>
      <c r="B387" s="3"/>
      <c r="C387" s="3"/>
      <c r="D387" s="3"/>
      <c r="E387" s="3"/>
    </row>
    <row r="388" customFormat="false" ht="15" hidden="false" customHeight="false" outlineLevel="0" collapsed="false">
      <c r="A388" s="3"/>
      <c r="B388" s="3"/>
      <c r="C388" s="3"/>
      <c r="D388" s="3"/>
      <c r="E388" s="3"/>
    </row>
    <row r="389" customFormat="false" ht="15" hidden="false" customHeight="false" outlineLevel="0" collapsed="false">
      <c r="A389" s="3"/>
      <c r="B389" s="3"/>
      <c r="C389" s="3"/>
      <c r="D389" s="3"/>
      <c r="E389" s="3"/>
    </row>
    <row r="390" customFormat="false" ht="15" hidden="false" customHeight="false" outlineLevel="0" collapsed="false">
      <c r="A390" s="3"/>
      <c r="B390" s="3"/>
      <c r="C390" s="3"/>
      <c r="D390" s="3"/>
      <c r="E390" s="3"/>
    </row>
    <row r="391" customFormat="false" ht="15" hidden="false" customHeight="false" outlineLevel="0" collapsed="false">
      <c r="A391" s="3"/>
      <c r="B391" s="3"/>
      <c r="C391" s="3"/>
      <c r="D391" s="3"/>
      <c r="E391" s="3"/>
    </row>
    <row r="392" customFormat="false" ht="15" hidden="false" customHeight="false" outlineLevel="0" collapsed="false">
      <c r="A392" s="3"/>
      <c r="B392" s="3"/>
      <c r="C392" s="3"/>
      <c r="D392" s="3"/>
      <c r="E392" s="3"/>
    </row>
    <row r="393" customFormat="false" ht="15" hidden="false" customHeight="false" outlineLevel="0" collapsed="false">
      <c r="A393" s="3"/>
      <c r="B393" s="3"/>
      <c r="C393" s="3"/>
      <c r="D393" s="3"/>
      <c r="E393" s="3"/>
    </row>
    <row r="394" customFormat="false" ht="15" hidden="false" customHeight="false" outlineLevel="0" collapsed="false">
      <c r="A394" s="3"/>
      <c r="B394" s="3"/>
      <c r="C394" s="3"/>
      <c r="D394" s="3"/>
      <c r="E394" s="3"/>
    </row>
    <row r="395" customFormat="false" ht="15" hidden="false" customHeight="false" outlineLevel="0" collapsed="false">
      <c r="A395" s="3"/>
      <c r="B395" s="3"/>
      <c r="C395" s="3"/>
      <c r="D395" s="3"/>
      <c r="E395" s="3"/>
    </row>
    <row r="396" customFormat="false" ht="15" hidden="false" customHeight="false" outlineLevel="0" collapsed="false">
      <c r="A396" s="3"/>
      <c r="B396" s="3"/>
      <c r="C396" s="3"/>
      <c r="D396" s="3"/>
      <c r="E396" s="3"/>
    </row>
    <row r="397" customFormat="false" ht="15" hidden="false" customHeight="false" outlineLevel="0" collapsed="false">
      <c r="A397" s="3"/>
      <c r="B397" s="3"/>
      <c r="C397" s="3"/>
      <c r="D397" s="3"/>
      <c r="E397" s="3"/>
    </row>
    <row r="398" customFormat="false" ht="15" hidden="false" customHeight="false" outlineLevel="0" collapsed="false">
      <c r="A398" s="3"/>
      <c r="B398" s="3"/>
      <c r="C398" s="3"/>
      <c r="D398" s="3"/>
      <c r="E398" s="3"/>
    </row>
    <row r="399" customFormat="false" ht="15" hidden="false" customHeight="false" outlineLevel="0" collapsed="false">
      <c r="A399" s="3"/>
      <c r="B399" s="3"/>
      <c r="C399" s="3"/>
      <c r="D399" s="3"/>
      <c r="E399" s="3"/>
    </row>
    <row r="400" customFormat="false" ht="15" hidden="false" customHeight="false" outlineLevel="0" collapsed="false">
      <c r="A400" s="3"/>
      <c r="B400" s="3"/>
      <c r="C400" s="3"/>
      <c r="D400" s="3"/>
      <c r="E400" s="3"/>
    </row>
    <row r="401" customFormat="false" ht="15" hidden="false" customHeight="false" outlineLevel="0" collapsed="false">
      <c r="A401" s="3"/>
      <c r="B401" s="3"/>
      <c r="C401" s="3"/>
      <c r="D401" s="3"/>
      <c r="E401" s="3"/>
    </row>
  </sheetData>
  <dataValidations count="2">
    <dataValidation allowBlank="true" errorStyle="stop" operator="between" showDropDown="false" showErrorMessage="false" showInputMessage="false" sqref="A2:A401" type="list">
      <formula1>Record!$A$2:$A$7</formula1>
      <formula2>0</formula2>
    </dataValidation>
    <dataValidation allowBlank="true" errorStyle="stop" operator="between" showDropDown="false" showErrorMessage="false" showInputMessage="false" sqref="B2:B401" type="list">
      <formula1>"subject,family,phenotype,measurement,enzyme_activity,genetic_finding,diagnosis,treatment,outcome"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2"/>
    <col collapsed="false" customWidth="true" hidden="false" outlineLevel="0" max="4" min="4" style="0" width="120"/>
    <col collapsed="false" customWidth="true" hidden="false" outlineLevel="0" max="5" min="5" style="0" width="26"/>
  </cols>
  <sheetData>
    <row r="1" customFormat="false" ht="15" hidden="false" customHeight="false" outlineLevel="0" collapsed="false">
      <c r="A1" s="6" t="s">
        <v>42</v>
      </c>
      <c r="B1" s="6" t="s">
        <v>49</v>
      </c>
      <c r="C1" s="6" t="s">
        <v>1304</v>
      </c>
      <c r="D1" s="6" t="s">
        <v>1305</v>
      </c>
      <c r="E1" s="6" t="s">
        <v>1306</v>
      </c>
    </row>
    <row r="2" customFormat="false" ht="15" hidden="false" customHeight="false" outlineLevel="0" collapsed="false">
      <c r="A2" s="2" t="s">
        <v>56</v>
      </c>
      <c r="B2" s="2" t="s">
        <v>1307</v>
      </c>
      <c r="C2" s="2"/>
      <c r="D2" s="2" t="s">
        <v>1308</v>
      </c>
      <c r="E2" s="2"/>
    </row>
    <row r="3" customFormat="false" ht="153.7" hidden="false" customHeight="false" outlineLevel="0" collapsed="false">
      <c r="A3" s="2" t="s">
        <v>56</v>
      </c>
      <c r="B3" s="2" t="s">
        <v>291</v>
      </c>
      <c r="C3" s="2" t="s">
        <v>1309</v>
      </c>
      <c r="D3" s="2" t="s">
        <v>1310</v>
      </c>
      <c r="E3" s="2" t="s">
        <v>1311</v>
      </c>
    </row>
    <row r="4" customFormat="false" ht="102.95" hidden="false" customHeight="false" outlineLevel="0" collapsed="false">
      <c r="A4" s="2" t="s">
        <v>56</v>
      </c>
      <c r="B4" s="2" t="s">
        <v>1312</v>
      </c>
      <c r="C4" s="2" t="s">
        <v>1313</v>
      </c>
      <c r="D4" s="2" t="s">
        <v>1314</v>
      </c>
      <c r="E4" s="2"/>
    </row>
    <row r="5" customFormat="false" ht="64.9" hidden="false" customHeight="false" outlineLevel="0" collapsed="false">
      <c r="A5" s="2" t="s">
        <v>56</v>
      </c>
      <c r="B5" s="2" t="s">
        <v>1315</v>
      </c>
      <c r="C5" s="2" t="s">
        <v>1313</v>
      </c>
      <c r="D5" s="2" t="s">
        <v>1316</v>
      </c>
      <c r="E5" s="2"/>
    </row>
    <row r="6" customFormat="false" ht="52.2" hidden="false" customHeight="false" outlineLevel="0" collapsed="false">
      <c r="A6" s="2" t="s">
        <v>56</v>
      </c>
      <c r="B6" s="2" t="s">
        <v>1317</v>
      </c>
      <c r="C6" s="2" t="s">
        <v>1318</v>
      </c>
      <c r="D6" s="2" t="s">
        <v>1319</v>
      </c>
      <c r="E6" s="2" t="s">
        <v>1311</v>
      </c>
    </row>
    <row r="7" customFormat="false" ht="191.75" hidden="false" customHeight="false" outlineLevel="0" collapsed="false">
      <c r="A7" s="2" t="s">
        <v>56</v>
      </c>
      <c r="B7" s="2" t="s">
        <v>1320</v>
      </c>
      <c r="C7" s="2" t="s">
        <v>1321</v>
      </c>
      <c r="D7" s="2" t="s">
        <v>1322</v>
      </c>
      <c r="E7" s="2" t="s">
        <v>1311</v>
      </c>
    </row>
    <row r="8" customFormat="false" ht="52.2" hidden="false" customHeight="false" outlineLevel="0" collapsed="false">
      <c r="A8" s="2" t="s">
        <v>56</v>
      </c>
      <c r="B8" s="2" t="s">
        <v>729</v>
      </c>
      <c r="C8" s="2" t="s">
        <v>1323</v>
      </c>
      <c r="D8" s="2" t="s">
        <v>1324</v>
      </c>
      <c r="E8" s="2"/>
    </row>
    <row r="9" customFormat="false" ht="15" hidden="false" customHeight="false" outlineLevel="0" collapsed="false">
      <c r="A9" s="2" t="s">
        <v>56</v>
      </c>
      <c r="B9" s="2" t="s">
        <v>812</v>
      </c>
      <c r="C9" s="2" t="s">
        <v>1325</v>
      </c>
      <c r="D9" s="2" t="s">
        <v>1326</v>
      </c>
      <c r="E9" s="2"/>
    </row>
    <row r="10" customFormat="false" ht="115.65" hidden="false" customHeight="false" outlineLevel="0" collapsed="false">
      <c r="A10" s="2" t="s">
        <v>56</v>
      </c>
      <c r="B10" s="2" t="s">
        <v>675</v>
      </c>
      <c r="C10" s="2" t="s">
        <v>1327</v>
      </c>
      <c r="D10" s="2" t="s">
        <v>1328</v>
      </c>
      <c r="E10" s="2" t="s">
        <v>1327</v>
      </c>
    </row>
    <row r="11" customFormat="false" ht="26.85" hidden="false" customHeight="false" outlineLevel="0" collapsed="false">
      <c r="A11" s="2" t="s">
        <v>56</v>
      </c>
      <c r="B11" s="2" t="s">
        <v>1329</v>
      </c>
      <c r="C11" s="2" t="s">
        <v>1327</v>
      </c>
      <c r="D11" s="2" t="s">
        <v>1330</v>
      </c>
      <c r="E11" s="2" t="s">
        <v>1327</v>
      </c>
    </row>
    <row r="12" customFormat="false" ht="141" hidden="false" customHeight="false" outlineLevel="0" collapsed="false">
      <c r="A12" s="2" t="s">
        <v>56</v>
      </c>
      <c r="B12" s="2" t="s">
        <v>80</v>
      </c>
      <c r="C12" s="2" t="s">
        <v>57</v>
      </c>
      <c r="D12" s="2" t="s">
        <v>1331</v>
      </c>
      <c r="E12" s="2" t="s">
        <v>57</v>
      </c>
    </row>
    <row r="13" customFormat="false" ht="26.85" hidden="false" customHeight="false" outlineLevel="0" collapsed="false">
      <c r="A13" s="2" t="s">
        <v>56</v>
      </c>
      <c r="B13" s="2" t="s">
        <v>1332</v>
      </c>
      <c r="C13" s="2" t="s">
        <v>57</v>
      </c>
      <c r="D13" s="2" t="s">
        <v>1333</v>
      </c>
      <c r="E13" s="2" t="s">
        <v>1311</v>
      </c>
    </row>
    <row r="14" customFormat="false" ht="26.85" hidden="false" customHeight="false" outlineLevel="0" collapsed="false">
      <c r="A14" s="2" t="s">
        <v>56</v>
      </c>
      <c r="B14" s="2" t="s">
        <v>1334</v>
      </c>
      <c r="C14" s="2" t="s">
        <v>57</v>
      </c>
      <c r="D14" s="2" t="s">
        <v>1335</v>
      </c>
      <c r="E14" s="2" t="s">
        <v>1311</v>
      </c>
    </row>
    <row r="15" customFormat="false" ht="39.55" hidden="false" customHeight="false" outlineLevel="0" collapsed="false">
      <c r="A15" s="2" t="s">
        <v>56</v>
      </c>
      <c r="B15" s="2" t="s">
        <v>153</v>
      </c>
      <c r="C15" s="2" t="s">
        <v>1336</v>
      </c>
      <c r="D15" s="2" t="s">
        <v>1337</v>
      </c>
      <c r="E15" s="2" t="s">
        <v>1311</v>
      </c>
    </row>
    <row r="16" customFormat="false" ht="39.55" hidden="false" customHeight="false" outlineLevel="0" collapsed="false">
      <c r="A16" s="2" t="s">
        <v>56</v>
      </c>
      <c r="B16" s="2" t="s">
        <v>90</v>
      </c>
      <c r="C16" s="2" t="s">
        <v>1336</v>
      </c>
      <c r="D16" s="2" t="s">
        <v>1338</v>
      </c>
      <c r="E16" s="2" t="s">
        <v>57</v>
      </c>
    </row>
    <row r="17" customFormat="false" ht="26.85" hidden="false" customHeight="false" outlineLevel="0" collapsed="false">
      <c r="A17" s="2" t="s">
        <v>56</v>
      </c>
      <c r="B17" s="2" t="s">
        <v>157</v>
      </c>
      <c r="C17" s="2" t="s">
        <v>1336</v>
      </c>
      <c r="D17" s="2" t="s">
        <v>1339</v>
      </c>
      <c r="E17" s="2" t="s">
        <v>1311</v>
      </c>
    </row>
    <row r="18" customFormat="false" ht="15" hidden="false" customHeight="false" outlineLevel="0" collapsed="false">
      <c r="A18" s="2" t="s">
        <v>56</v>
      </c>
      <c r="B18" s="2" t="s">
        <v>507</v>
      </c>
      <c r="C18" s="2" t="s">
        <v>1323</v>
      </c>
      <c r="D18" s="2" t="s">
        <v>1340</v>
      </c>
      <c r="E18" s="2"/>
    </row>
    <row r="19" customFormat="false" ht="52.2" hidden="false" customHeight="false" outlineLevel="0" collapsed="false">
      <c r="A19" s="2" t="s">
        <v>56</v>
      </c>
      <c r="B19" s="2" t="s">
        <v>503</v>
      </c>
      <c r="C19" s="2" t="s">
        <v>1323</v>
      </c>
      <c r="D19" s="2" t="s">
        <v>1341</v>
      </c>
      <c r="E19" s="2"/>
    </row>
    <row r="20" customFormat="false" ht="39.55" hidden="false" customHeight="false" outlineLevel="0" collapsed="false">
      <c r="A20" s="2" t="s">
        <v>56</v>
      </c>
      <c r="B20" s="2" t="s">
        <v>1342</v>
      </c>
      <c r="C20" s="2" t="s">
        <v>1343</v>
      </c>
      <c r="D20" s="2" t="s">
        <v>1344</v>
      </c>
      <c r="E20" s="2"/>
    </row>
    <row r="21" customFormat="false" ht="52.2" hidden="false" customHeight="false" outlineLevel="0" collapsed="false">
      <c r="A21" s="2" t="s">
        <v>56</v>
      </c>
      <c r="B21" s="2" t="s">
        <v>1345</v>
      </c>
      <c r="C21" s="2" t="s">
        <v>1343</v>
      </c>
      <c r="D21" s="2" t="s">
        <v>1346</v>
      </c>
      <c r="E21" s="2"/>
    </row>
    <row r="22" customFormat="false" ht="77.6" hidden="false" customHeight="false" outlineLevel="0" collapsed="false">
      <c r="A22" s="2" t="s">
        <v>56</v>
      </c>
      <c r="B22" s="2" t="s">
        <v>1347</v>
      </c>
      <c r="C22" s="2" t="s">
        <v>1343</v>
      </c>
      <c r="D22" s="2" t="s">
        <v>1348</v>
      </c>
      <c r="E22" s="2"/>
    </row>
    <row r="23" customFormat="false" ht="26.85" hidden="false" customHeight="false" outlineLevel="0" collapsed="false">
      <c r="A23" s="2" t="s">
        <v>56</v>
      </c>
      <c r="B23" s="2" t="s">
        <v>1349</v>
      </c>
      <c r="C23" s="2" t="s">
        <v>1343</v>
      </c>
      <c r="D23" s="2" t="s">
        <v>1350</v>
      </c>
      <c r="E23" s="2"/>
    </row>
    <row r="24" customFormat="false" ht="52.2" hidden="false" customHeight="false" outlineLevel="0" collapsed="false">
      <c r="A24" s="2" t="s">
        <v>56</v>
      </c>
      <c r="B24" s="2" t="s">
        <v>1351</v>
      </c>
      <c r="C24" s="2" t="s">
        <v>1352</v>
      </c>
      <c r="D24" s="2" t="s">
        <v>1353</v>
      </c>
      <c r="E24" s="2" t="s">
        <v>1311</v>
      </c>
    </row>
    <row r="25" customFormat="false" ht="39.55" hidden="false" customHeight="false" outlineLevel="0" collapsed="false">
      <c r="A25" s="2" t="s">
        <v>56</v>
      </c>
      <c r="B25" s="2" t="s">
        <v>1354</v>
      </c>
      <c r="C25" s="2" t="s">
        <v>1352</v>
      </c>
      <c r="D25" s="2" t="s">
        <v>1355</v>
      </c>
      <c r="E25" s="2" t="s">
        <v>1311</v>
      </c>
    </row>
    <row r="26" customFormat="false" ht="128.35" hidden="false" customHeight="false" outlineLevel="0" collapsed="false">
      <c r="A26" s="2" t="s">
        <v>56</v>
      </c>
      <c r="B26" s="2" t="s">
        <v>1356</v>
      </c>
      <c r="C26" s="2" t="s">
        <v>1352</v>
      </c>
      <c r="D26" s="2" t="s">
        <v>1357</v>
      </c>
      <c r="E26" s="2" t="s">
        <v>1327</v>
      </c>
    </row>
    <row r="27" customFormat="false" ht="64.9" hidden="false" customHeight="false" outlineLevel="0" collapsed="false">
      <c r="A27" s="2" t="s">
        <v>56</v>
      </c>
      <c r="B27" s="2" t="s">
        <v>1358</v>
      </c>
      <c r="C27" s="2" t="s">
        <v>1352</v>
      </c>
      <c r="D27" s="2" t="s">
        <v>1359</v>
      </c>
      <c r="E27" s="2" t="s">
        <v>57</v>
      </c>
    </row>
    <row r="28" customFormat="false" ht="39.55" hidden="false" customHeight="false" outlineLevel="0" collapsed="false">
      <c r="A28" s="2" t="s">
        <v>56</v>
      </c>
      <c r="B28" s="2" t="s">
        <v>1360</v>
      </c>
      <c r="C28" s="2" t="s">
        <v>1352</v>
      </c>
      <c r="D28" s="2" t="s">
        <v>1361</v>
      </c>
      <c r="E28" s="2" t="s">
        <v>1311</v>
      </c>
    </row>
    <row r="29" customFormat="false" ht="102.95" hidden="false" customHeight="false" outlineLevel="0" collapsed="false">
      <c r="A29" s="2" t="s">
        <v>56</v>
      </c>
      <c r="B29" s="2" t="s">
        <v>1362</v>
      </c>
      <c r="C29" s="2" t="s">
        <v>1352</v>
      </c>
      <c r="D29" s="2" t="s">
        <v>1363</v>
      </c>
      <c r="E29" s="2"/>
    </row>
    <row r="30" customFormat="false" ht="64.9" hidden="false" customHeight="false" outlineLevel="0" collapsed="false">
      <c r="A30" s="2" t="s">
        <v>56</v>
      </c>
      <c r="B30" s="2" t="s">
        <v>1364</v>
      </c>
      <c r="C30" s="2" t="s">
        <v>1365</v>
      </c>
      <c r="D30" s="2" t="s">
        <v>1366</v>
      </c>
      <c r="E30" s="2"/>
    </row>
    <row r="31" customFormat="false" ht="64.9" hidden="false" customHeight="false" outlineLevel="0" collapsed="false">
      <c r="A31" s="2" t="s">
        <v>56</v>
      </c>
      <c r="B31" s="2" t="s">
        <v>1367</v>
      </c>
      <c r="C31" s="2" t="s">
        <v>1365</v>
      </c>
      <c r="D31" s="2" t="s">
        <v>1368</v>
      </c>
      <c r="E31" s="2"/>
    </row>
    <row r="32" customFormat="false" ht="64.9" hidden="false" customHeight="false" outlineLevel="0" collapsed="false">
      <c r="A32" s="2" t="s">
        <v>56</v>
      </c>
      <c r="B32" s="2" t="s">
        <v>1369</v>
      </c>
      <c r="C32" s="2" t="s">
        <v>1365</v>
      </c>
      <c r="D32" s="2" t="s">
        <v>1370</v>
      </c>
      <c r="E32" s="2"/>
    </row>
    <row r="33" customFormat="false" ht="64.9" hidden="false" customHeight="false" outlineLevel="0" collapsed="false">
      <c r="A33" s="2" t="s">
        <v>56</v>
      </c>
      <c r="B33" s="2" t="s">
        <v>1371</v>
      </c>
      <c r="C33" s="2" t="s">
        <v>1365</v>
      </c>
      <c r="D33" s="2" t="s">
        <v>1372</v>
      </c>
      <c r="E33" s="2"/>
    </row>
    <row r="34" customFormat="false" ht="64.9" hidden="false" customHeight="false" outlineLevel="0" collapsed="false">
      <c r="A34" s="2" t="s">
        <v>56</v>
      </c>
      <c r="B34" s="2" t="s">
        <v>1373</v>
      </c>
      <c r="C34" s="2" t="s">
        <v>1365</v>
      </c>
      <c r="D34" s="2" t="s">
        <v>1374</v>
      </c>
      <c r="E34" s="2"/>
    </row>
    <row r="35" customFormat="false" ht="64.9" hidden="false" customHeight="false" outlineLevel="0" collapsed="false">
      <c r="A35" s="2" t="s">
        <v>56</v>
      </c>
      <c r="B35" s="2" t="s">
        <v>1375</v>
      </c>
      <c r="C35" s="2" t="s">
        <v>1365</v>
      </c>
      <c r="D35" s="2" t="s">
        <v>1376</v>
      </c>
      <c r="E35" s="2"/>
    </row>
    <row r="36" customFormat="false" ht="64.9" hidden="false" customHeight="false" outlineLevel="0" collapsed="false">
      <c r="A36" s="2" t="s">
        <v>56</v>
      </c>
      <c r="B36" s="2" t="s">
        <v>1377</v>
      </c>
      <c r="C36" s="2" t="s">
        <v>1365</v>
      </c>
      <c r="D36" s="2" t="s">
        <v>1378</v>
      </c>
      <c r="E36" s="2"/>
    </row>
    <row r="37" customFormat="false" ht="64.9" hidden="false" customHeight="false" outlineLevel="0" collapsed="false">
      <c r="A37" s="2" t="s">
        <v>56</v>
      </c>
      <c r="B37" s="2" t="s">
        <v>1379</v>
      </c>
      <c r="C37" s="2" t="s">
        <v>1380</v>
      </c>
      <c r="D37" s="2" t="s">
        <v>1381</v>
      </c>
      <c r="E37" s="2"/>
    </row>
    <row r="38" customFormat="false" ht="64.9" hidden="false" customHeight="false" outlineLevel="0" collapsed="false">
      <c r="A38" s="2" t="s">
        <v>56</v>
      </c>
      <c r="B38" s="2" t="s">
        <v>1382</v>
      </c>
      <c r="C38" s="2" t="s">
        <v>1380</v>
      </c>
      <c r="D38" s="2" t="s">
        <v>1383</v>
      </c>
      <c r="E38" s="2"/>
    </row>
    <row r="39" customFormat="false" ht="64.9" hidden="false" customHeight="false" outlineLevel="0" collapsed="false">
      <c r="A39" s="2" t="s">
        <v>56</v>
      </c>
      <c r="B39" s="2" t="s">
        <v>1384</v>
      </c>
      <c r="C39" s="2" t="s">
        <v>1380</v>
      </c>
      <c r="D39" s="2" t="s">
        <v>1385</v>
      </c>
      <c r="E39" s="2"/>
    </row>
    <row r="40" customFormat="false" ht="64.9" hidden="false" customHeight="false" outlineLevel="0" collapsed="false">
      <c r="A40" s="2" t="s">
        <v>56</v>
      </c>
      <c r="B40" s="2" t="s">
        <v>1386</v>
      </c>
      <c r="C40" s="2" t="s">
        <v>1387</v>
      </c>
      <c r="D40" s="2" t="s">
        <v>1388</v>
      </c>
      <c r="E40" s="2"/>
    </row>
    <row r="41" customFormat="false" ht="15" hidden="false" customHeight="false" outlineLevel="0" collapsed="false">
      <c r="A41" s="2" t="s">
        <v>56</v>
      </c>
      <c r="B41" s="2" t="s">
        <v>718</v>
      </c>
      <c r="C41" s="2" t="s">
        <v>1389</v>
      </c>
      <c r="D41" s="2" t="s">
        <v>1390</v>
      </c>
      <c r="E41" s="2"/>
    </row>
    <row r="42" customFormat="false" ht="15" hidden="false" customHeight="false" outlineLevel="0" collapsed="false">
      <c r="A42" s="2" t="s">
        <v>56</v>
      </c>
      <c r="B42" s="2" t="s">
        <v>1391</v>
      </c>
      <c r="C42" s="2" t="s">
        <v>1389</v>
      </c>
      <c r="D42" s="2" t="s">
        <v>1392</v>
      </c>
      <c r="E42" s="2" t="s">
        <v>1327</v>
      </c>
    </row>
    <row r="43" customFormat="false" ht="15" hidden="false" customHeight="false" outlineLevel="0" collapsed="false">
      <c r="A43" s="2" t="s">
        <v>56</v>
      </c>
      <c r="B43" s="2" t="s">
        <v>1393</v>
      </c>
      <c r="C43" s="2" t="s">
        <v>1389</v>
      </c>
      <c r="D43" s="2" t="s">
        <v>1394</v>
      </c>
      <c r="E43" s="2" t="s">
        <v>1327</v>
      </c>
    </row>
    <row r="44" customFormat="false" ht="15" hidden="false" customHeight="false" outlineLevel="0" collapsed="false">
      <c r="A44" s="2" t="s">
        <v>56</v>
      </c>
      <c r="B44" s="2" t="s">
        <v>1395</v>
      </c>
      <c r="C44" s="2" t="s">
        <v>1389</v>
      </c>
      <c r="D44" s="2" t="s">
        <v>1396</v>
      </c>
      <c r="E44" s="2" t="s">
        <v>1327</v>
      </c>
    </row>
    <row r="45" customFormat="false" ht="15" hidden="false" customHeight="false" outlineLevel="0" collapsed="false">
      <c r="A45" s="2" t="s">
        <v>56</v>
      </c>
      <c r="B45" s="2" t="s">
        <v>1397</v>
      </c>
      <c r="C45" s="2" t="s">
        <v>1389</v>
      </c>
      <c r="D45" s="2" t="s">
        <v>1398</v>
      </c>
      <c r="E45" s="2" t="s">
        <v>1327</v>
      </c>
    </row>
    <row r="46" customFormat="false" ht="15" hidden="false" customHeight="false" outlineLevel="0" collapsed="false">
      <c r="A46" s="2" t="s">
        <v>56</v>
      </c>
      <c r="B46" s="2" t="s">
        <v>1399</v>
      </c>
      <c r="C46" s="2" t="s">
        <v>1389</v>
      </c>
      <c r="D46" s="2" t="s">
        <v>1400</v>
      </c>
      <c r="E46" s="2" t="s">
        <v>1327</v>
      </c>
    </row>
    <row r="47" customFormat="false" ht="15" hidden="false" customHeight="false" outlineLevel="0" collapsed="false">
      <c r="A47" s="2" t="s">
        <v>56</v>
      </c>
      <c r="B47" s="2" t="s">
        <v>1401</v>
      </c>
      <c r="C47" s="2" t="s">
        <v>1389</v>
      </c>
      <c r="D47" s="2" t="s">
        <v>1402</v>
      </c>
      <c r="E47" s="2" t="s">
        <v>1327</v>
      </c>
    </row>
    <row r="48" customFormat="false" ht="15" hidden="false" customHeight="false" outlineLevel="0" collapsed="false">
      <c r="A48" s="2" t="s">
        <v>56</v>
      </c>
      <c r="B48" s="2" t="s">
        <v>1403</v>
      </c>
      <c r="C48" s="2" t="s">
        <v>1389</v>
      </c>
      <c r="D48" s="2" t="s">
        <v>1404</v>
      </c>
      <c r="E48" s="2" t="s">
        <v>1327</v>
      </c>
    </row>
    <row r="49" customFormat="false" ht="15" hidden="false" customHeight="false" outlineLevel="0" collapsed="false">
      <c r="A49" s="2" t="s">
        <v>56</v>
      </c>
      <c r="B49" s="2" t="s">
        <v>1405</v>
      </c>
      <c r="C49" s="2" t="s">
        <v>1389</v>
      </c>
      <c r="D49" s="2" t="s">
        <v>1406</v>
      </c>
      <c r="E49" s="2" t="s">
        <v>1327</v>
      </c>
    </row>
    <row r="50" customFormat="false" ht="15" hidden="false" customHeight="false" outlineLevel="0" collapsed="false">
      <c r="A50" s="2" t="s">
        <v>56</v>
      </c>
      <c r="B50" s="2" t="s">
        <v>1407</v>
      </c>
      <c r="C50" s="2" t="s">
        <v>1389</v>
      </c>
      <c r="D50" s="2" t="s">
        <v>1408</v>
      </c>
      <c r="E50" s="2" t="s">
        <v>1327</v>
      </c>
    </row>
    <row r="51" customFormat="false" ht="15" hidden="false" customHeight="false" outlineLevel="0" collapsed="false">
      <c r="A51" s="2" t="s">
        <v>56</v>
      </c>
      <c r="B51" s="2" t="s">
        <v>1409</v>
      </c>
      <c r="C51" s="2" t="s">
        <v>1389</v>
      </c>
      <c r="D51" s="2" t="s">
        <v>1400</v>
      </c>
      <c r="E51" s="2" t="s">
        <v>1327</v>
      </c>
    </row>
    <row r="52" customFormat="false" ht="15" hidden="false" customHeight="false" outlineLevel="0" collapsed="false">
      <c r="A52" s="2" t="s">
        <v>56</v>
      </c>
      <c r="B52" s="2" t="s">
        <v>1410</v>
      </c>
      <c r="C52" s="2" t="s">
        <v>1389</v>
      </c>
      <c r="D52" s="2" t="s">
        <v>1411</v>
      </c>
      <c r="E52" s="2" t="s">
        <v>1327</v>
      </c>
    </row>
    <row r="53" customFormat="false" ht="15" hidden="false" customHeight="false" outlineLevel="0" collapsed="false">
      <c r="A53" s="2" t="s">
        <v>56</v>
      </c>
      <c r="B53" s="2" t="s">
        <v>1412</v>
      </c>
      <c r="C53" s="2" t="s">
        <v>1389</v>
      </c>
      <c r="D53" s="2" t="s">
        <v>1413</v>
      </c>
      <c r="E53" s="2" t="s">
        <v>1327</v>
      </c>
    </row>
    <row r="54" customFormat="false" ht="15" hidden="false" customHeight="false" outlineLevel="0" collapsed="false">
      <c r="A54" s="2" t="s">
        <v>56</v>
      </c>
      <c r="B54" s="2" t="s">
        <v>1414</v>
      </c>
      <c r="C54" s="2" t="s">
        <v>1389</v>
      </c>
      <c r="D54" s="2" t="s">
        <v>1415</v>
      </c>
      <c r="E54" s="2" t="s">
        <v>1327</v>
      </c>
    </row>
    <row r="55" customFormat="false" ht="15" hidden="false" customHeight="false" outlineLevel="0" collapsed="false">
      <c r="A55" s="2" t="s">
        <v>56</v>
      </c>
      <c r="B55" s="2" t="s">
        <v>1416</v>
      </c>
      <c r="C55" s="2" t="s">
        <v>1389</v>
      </c>
      <c r="D55" s="2" t="s">
        <v>1417</v>
      </c>
      <c r="E55" s="2" t="s">
        <v>1327</v>
      </c>
    </row>
    <row r="56" customFormat="false" ht="15" hidden="false" customHeight="false" outlineLevel="0" collapsed="false">
      <c r="A56" s="2" t="s">
        <v>56</v>
      </c>
      <c r="B56" s="2" t="s">
        <v>1418</v>
      </c>
      <c r="C56" s="2" t="s">
        <v>1419</v>
      </c>
      <c r="D56" s="2" t="s">
        <v>1420</v>
      </c>
      <c r="E56" s="2"/>
    </row>
    <row r="57" customFormat="false" ht="15" hidden="false" customHeight="false" outlineLevel="0" collapsed="false">
      <c r="A57" s="2" t="s">
        <v>56</v>
      </c>
      <c r="B57" s="2" t="s">
        <v>1421</v>
      </c>
      <c r="C57" s="2" t="s">
        <v>1419</v>
      </c>
      <c r="D57" s="2" t="s">
        <v>1392</v>
      </c>
      <c r="E57" s="2" t="s">
        <v>57</v>
      </c>
    </row>
    <row r="58" customFormat="false" ht="15" hidden="false" customHeight="false" outlineLevel="0" collapsed="false">
      <c r="A58" s="2" t="s">
        <v>56</v>
      </c>
      <c r="B58" s="2" t="s">
        <v>1422</v>
      </c>
      <c r="C58" s="2" t="s">
        <v>1419</v>
      </c>
      <c r="D58" s="2" t="s">
        <v>1423</v>
      </c>
      <c r="E58" s="2" t="s">
        <v>57</v>
      </c>
    </row>
    <row r="59" customFormat="false" ht="15" hidden="false" customHeight="false" outlineLevel="0" collapsed="false">
      <c r="A59" s="2" t="s">
        <v>56</v>
      </c>
      <c r="B59" s="2" t="s">
        <v>1424</v>
      </c>
      <c r="C59" s="2" t="s">
        <v>1419</v>
      </c>
      <c r="D59" s="2" t="s">
        <v>1425</v>
      </c>
      <c r="E59" s="2" t="s">
        <v>57</v>
      </c>
    </row>
    <row r="60" customFormat="false" ht="15" hidden="false" customHeight="false" outlineLevel="0" collapsed="false">
      <c r="A60" s="2" t="s">
        <v>56</v>
      </c>
      <c r="B60" s="2" t="s">
        <v>1426</v>
      </c>
      <c r="C60" s="2" t="s">
        <v>1419</v>
      </c>
      <c r="D60" s="2" t="s">
        <v>1427</v>
      </c>
      <c r="E60" s="2" t="s">
        <v>57</v>
      </c>
    </row>
    <row r="61" customFormat="false" ht="15" hidden="false" customHeight="false" outlineLevel="0" collapsed="false">
      <c r="A61" s="2" t="s">
        <v>56</v>
      </c>
      <c r="B61" s="2" t="s">
        <v>1428</v>
      </c>
      <c r="C61" s="2" t="s">
        <v>1419</v>
      </c>
      <c r="D61" s="2" t="s">
        <v>1429</v>
      </c>
      <c r="E61" s="2" t="s">
        <v>57</v>
      </c>
    </row>
    <row r="62" customFormat="false" ht="15" hidden="false" customHeight="false" outlineLevel="0" collapsed="false">
      <c r="A62" s="2" t="s">
        <v>56</v>
      </c>
      <c r="B62" s="2" t="s">
        <v>1430</v>
      </c>
      <c r="C62" s="2" t="s">
        <v>1419</v>
      </c>
      <c r="D62" s="2" t="s">
        <v>1431</v>
      </c>
      <c r="E62" s="2" t="s">
        <v>57</v>
      </c>
    </row>
    <row r="63" customFormat="false" ht="15" hidden="false" customHeight="false" outlineLevel="0" collapsed="false">
      <c r="A63" s="2" t="s">
        <v>56</v>
      </c>
      <c r="B63" s="2" t="s">
        <v>1432</v>
      </c>
      <c r="C63" s="2" t="s">
        <v>1419</v>
      </c>
      <c r="D63" s="2" t="s">
        <v>1433</v>
      </c>
      <c r="E63" s="2" t="s">
        <v>57</v>
      </c>
    </row>
    <row r="64" customFormat="false" ht="15" hidden="false" customHeight="false" outlineLevel="0" collapsed="false">
      <c r="A64" s="2" t="s">
        <v>56</v>
      </c>
      <c r="B64" s="2" t="s">
        <v>1434</v>
      </c>
      <c r="C64" s="2" t="s">
        <v>1419</v>
      </c>
      <c r="D64" s="2" t="s">
        <v>1435</v>
      </c>
      <c r="E64" s="2" t="s">
        <v>57</v>
      </c>
    </row>
    <row r="65" customFormat="false" ht="15" hidden="false" customHeight="false" outlineLevel="0" collapsed="false">
      <c r="A65" s="2" t="s">
        <v>56</v>
      </c>
      <c r="B65" s="2" t="s">
        <v>1436</v>
      </c>
      <c r="C65" s="2" t="s">
        <v>1419</v>
      </c>
      <c r="D65" s="2" t="s">
        <v>1437</v>
      </c>
      <c r="E65" s="2" t="s">
        <v>57</v>
      </c>
    </row>
    <row r="66" customFormat="false" ht="15" hidden="false" customHeight="false" outlineLevel="0" collapsed="false">
      <c r="A66" s="2" t="s">
        <v>56</v>
      </c>
      <c r="B66" s="2" t="s">
        <v>1438</v>
      </c>
      <c r="C66" s="2" t="s">
        <v>1419</v>
      </c>
      <c r="D66" s="2" t="s">
        <v>1439</v>
      </c>
      <c r="E66" s="2" t="s">
        <v>57</v>
      </c>
    </row>
    <row r="67" customFormat="false" ht="15" hidden="false" customHeight="false" outlineLevel="0" collapsed="false">
      <c r="A67" s="2" t="s">
        <v>56</v>
      </c>
      <c r="B67" s="2" t="s">
        <v>1440</v>
      </c>
      <c r="C67" s="2" t="s">
        <v>1441</v>
      </c>
      <c r="D67" s="2" t="s">
        <v>1442</v>
      </c>
      <c r="E67" s="2"/>
    </row>
    <row r="68" customFormat="false" ht="15" hidden="false" customHeight="false" outlineLevel="0" collapsed="false">
      <c r="A68" s="2" t="s">
        <v>56</v>
      </c>
      <c r="B68" s="2" t="s">
        <v>1443</v>
      </c>
      <c r="C68" s="2" t="s">
        <v>1441</v>
      </c>
      <c r="D68" s="2" t="s">
        <v>1444</v>
      </c>
      <c r="E68" s="2" t="s">
        <v>1311</v>
      </c>
    </row>
    <row r="69" customFormat="false" ht="26.85" hidden="false" customHeight="false" outlineLevel="0" collapsed="false">
      <c r="A69" s="2" t="s">
        <v>56</v>
      </c>
      <c r="B69" s="2" t="s">
        <v>1445</v>
      </c>
      <c r="C69" s="2" t="s">
        <v>1441</v>
      </c>
      <c r="D69" s="2" t="s">
        <v>1446</v>
      </c>
      <c r="E69" s="2"/>
    </row>
    <row r="70" customFormat="false" ht="15" hidden="false" customHeight="false" outlineLevel="0" collapsed="false">
      <c r="A70" s="2" t="s">
        <v>56</v>
      </c>
      <c r="B70" s="2" t="s">
        <v>1447</v>
      </c>
      <c r="C70" s="2" t="s">
        <v>1441</v>
      </c>
      <c r="D70" s="2" t="s">
        <v>1448</v>
      </c>
      <c r="E70" s="2"/>
    </row>
    <row r="71" customFormat="false" ht="26.85" hidden="false" customHeight="false" outlineLevel="0" collapsed="false">
      <c r="A71" s="2" t="s">
        <v>56</v>
      </c>
      <c r="B71" s="2" t="s">
        <v>1449</v>
      </c>
      <c r="C71" s="2" t="s">
        <v>1441</v>
      </c>
      <c r="D71" s="2" t="s">
        <v>1450</v>
      </c>
      <c r="E71" s="2"/>
    </row>
    <row r="72" customFormat="false" ht="26.85" hidden="false" customHeight="false" outlineLevel="0" collapsed="false">
      <c r="A72" s="2" t="s">
        <v>56</v>
      </c>
      <c r="B72" s="2" t="s">
        <v>1451</v>
      </c>
      <c r="C72" s="2" t="s">
        <v>1441</v>
      </c>
      <c r="D72" s="2" t="s">
        <v>1452</v>
      </c>
      <c r="E72" s="2"/>
    </row>
    <row r="73" customFormat="false" ht="15" hidden="false" customHeight="false" outlineLevel="0" collapsed="false">
      <c r="A73" s="2" t="s">
        <v>56</v>
      </c>
      <c r="B73" s="2" t="s">
        <v>1453</v>
      </c>
      <c r="C73" s="2" t="s">
        <v>1441</v>
      </c>
      <c r="D73" s="2" t="s">
        <v>1454</v>
      </c>
      <c r="E73" s="2"/>
    </row>
    <row r="74" customFormat="false" ht="26.85" hidden="false" customHeight="false" outlineLevel="0" collapsed="false">
      <c r="A74" s="2" t="s">
        <v>56</v>
      </c>
      <c r="B74" s="2" t="s">
        <v>1455</v>
      </c>
      <c r="C74" s="2" t="s">
        <v>1441</v>
      </c>
      <c r="D74" s="2" t="s">
        <v>1456</v>
      </c>
      <c r="E74" s="2"/>
    </row>
    <row r="75" customFormat="false" ht="15" hidden="false" customHeight="false" outlineLevel="0" collapsed="false">
      <c r="A75" s="2" t="s">
        <v>56</v>
      </c>
      <c r="B75" s="2" t="s">
        <v>1457</v>
      </c>
      <c r="C75" s="2" t="s">
        <v>1441</v>
      </c>
      <c r="D75" s="2" t="s">
        <v>1458</v>
      </c>
      <c r="E75" s="2"/>
    </row>
    <row r="76" customFormat="false" ht="26.85" hidden="false" customHeight="false" outlineLevel="0" collapsed="false">
      <c r="A76" s="2" t="s">
        <v>56</v>
      </c>
      <c r="B76" s="2" t="s">
        <v>1459</v>
      </c>
      <c r="C76" s="2" t="s">
        <v>1441</v>
      </c>
      <c r="D76" s="2" t="s">
        <v>1460</v>
      </c>
      <c r="E76" s="2"/>
    </row>
    <row r="77" customFormat="false" ht="26.85" hidden="false" customHeight="false" outlineLevel="0" collapsed="false">
      <c r="A77" s="2" t="s">
        <v>56</v>
      </c>
      <c r="B77" s="2" t="s">
        <v>1461</v>
      </c>
      <c r="C77" s="2" t="s">
        <v>1441</v>
      </c>
      <c r="D77" s="2" t="s">
        <v>1462</v>
      </c>
      <c r="E77" s="2"/>
    </row>
    <row r="78" customFormat="false" ht="26.85" hidden="false" customHeight="false" outlineLevel="0" collapsed="false">
      <c r="A78" s="2" t="s">
        <v>56</v>
      </c>
      <c r="B78" s="2" t="s">
        <v>1463</v>
      </c>
      <c r="C78" s="2" t="s">
        <v>1441</v>
      </c>
      <c r="D78" s="2" t="s">
        <v>1464</v>
      </c>
      <c r="E78" s="2"/>
    </row>
    <row r="79" customFormat="false" ht="15" hidden="false" customHeight="false" outlineLevel="0" collapsed="false">
      <c r="A79" s="2" t="s">
        <v>56</v>
      </c>
      <c r="B79" s="2" t="s">
        <v>1465</v>
      </c>
      <c r="C79" s="2" t="s">
        <v>1441</v>
      </c>
      <c r="D79" s="2" t="s">
        <v>1466</v>
      </c>
      <c r="E79" s="2"/>
    </row>
    <row r="80" customFormat="false" ht="15" hidden="false" customHeight="false" outlineLevel="0" collapsed="false">
      <c r="A80" s="2" t="s">
        <v>56</v>
      </c>
      <c r="B80" s="2" t="s">
        <v>1467</v>
      </c>
      <c r="C80" s="2" t="s">
        <v>1441</v>
      </c>
      <c r="D80" s="2" t="s">
        <v>1468</v>
      </c>
      <c r="E80" s="2"/>
    </row>
    <row r="81" customFormat="false" ht="26.85" hidden="false" customHeight="false" outlineLevel="0" collapsed="false">
      <c r="A81" s="2" t="s">
        <v>56</v>
      </c>
      <c r="B81" s="2" t="s">
        <v>1469</v>
      </c>
      <c r="C81" s="2" t="s">
        <v>1441</v>
      </c>
      <c r="D81" s="2" t="s">
        <v>1470</v>
      </c>
      <c r="E81" s="2"/>
    </row>
    <row r="82" customFormat="false" ht="26.85" hidden="false" customHeight="false" outlineLevel="0" collapsed="false">
      <c r="A82" s="2" t="s">
        <v>56</v>
      </c>
      <c r="B82" s="2" t="s">
        <v>1471</v>
      </c>
      <c r="C82" s="2" t="s">
        <v>1441</v>
      </c>
      <c r="D82" s="2" t="s">
        <v>1472</v>
      </c>
      <c r="E82" s="2"/>
    </row>
    <row r="83" customFormat="false" ht="26.85" hidden="false" customHeight="false" outlineLevel="0" collapsed="false">
      <c r="A83" s="2" t="s">
        <v>56</v>
      </c>
      <c r="B83" s="2" t="s">
        <v>1473</v>
      </c>
      <c r="C83" s="2" t="s">
        <v>1441</v>
      </c>
      <c r="D83" s="2" t="s">
        <v>1474</v>
      </c>
      <c r="E83" s="2"/>
    </row>
    <row r="84" customFormat="false" ht="15" hidden="false" customHeight="false" outlineLevel="0" collapsed="false">
      <c r="A84" s="2" t="s">
        <v>56</v>
      </c>
      <c r="B84" s="2" t="s">
        <v>1475</v>
      </c>
      <c r="C84" s="2" t="s">
        <v>1441</v>
      </c>
      <c r="D84" s="2" t="s">
        <v>1476</v>
      </c>
      <c r="E84" s="2"/>
    </row>
    <row r="85" customFormat="false" ht="26.85" hidden="false" customHeight="false" outlineLevel="0" collapsed="false">
      <c r="A85" s="2" t="s">
        <v>56</v>
      </c>
      <c r="B85" s="2" t="s">
        <v>1477</v>
      </c>
      <c r="C85" s="2" t="s">
        <v>1441</v>
      </c>
      <c r="D85" s="2" t="s">
        <v>1478</v>
      </c>
      <c r="E85" s="2"/>
    </row>
    <row r="86" customFormat="false" ht="26.85" hidden="false" customHeight="false" outlineLevel="0" collapsed="false">
      <c r="A86" s="2" t="s">
        <v>56</v>
      </c>
      <c r="B86" s="2" t="s">
        <v>1479</v>
      </c>
      <c r="C86" s="2" t="s">
        <v>1441</v>
      </c>
      <c r="D86" s="2" t="s">
        <v>1480</v>
      </c>
      <c r="E86" s="2" t="s">
        <v>1327</v>
      </c>
    </row>
    <row r="87" customFormat="false" ht="26.85" hidden="false" customHeight="false" outlineLevel="0" collapsed="false">
      <c r="A87" s="2" t="s">
        <v>56</v>
      </c>
      <c r="B87" s="2" t="s">
        <v>1481</v>
      </c>
      <c r="C87" s="2" t="s">
        <v>1441</v>
      </c>
      <c r="D87" s="2" t="s">
        <v>1482</v>
      </c>
      <c r="E87" s="2" t="s">
        <v>57</v>
      </c>
    </row>
    <row r="88" customFormat="false" ht="15" hidden="false" customHeight="false" outlineLevel="0" collapsed="false">
      <c r="A88" s="2" t="s">
        <v>233</v>
      </c>
      <c r="B88" s="2" t="s">
        <v>1307</v>
      </c>
      <c r="C88" s="2"/>
      <c r="D88" s="2" t="s">
        <v>1483</v>
      </c>
      <c r="E88" s="2"/>
    </row>
    <row r="89" customFormat="false" ht="191.75" hidden="false" customHeight="false" outlineLevel="0" collapsed="false">
      <c r="A89" s="2" t="s">
        <v>233</v>
      </c>
      <c r="B89" s="2" t="s">
        <v>291</v>
      </c>
      <c r="C89" s="2" t="s">
        <v>1309</v>
      </c>
      <c r="D89" s="2" t="s">
        <v>1484</v>
      </c>
      <c r="E89" s="2" t="s">
        <v>1485</v>
      </c>
    </row>
    <row r="90" customFormat="false" ht="52.2" hidden="false" customHeight="false" outlineLevel="0" collapsed="false">
      <c r="A90" s="2" t="s">
        <v>233</v>
      </c>
      <c r="B90" s="2" t="s">
        <v>1312</v>
      </c>
      <c r="C90" s="2" t="s">
        <v>1313</v>
      </c>
      <c r="D90" s="2" t="s">
        <v>1486</v>
      </c>
      <c r="E90" s="2"/>
    </row>
    <row r="91" customFormat="false" ht="90.25" hidden="false" customHeight="false" outlineLevel="0" collapsed="false">
      <c r="A91" s="2" t="s">
        <v>233</v>
      </c>
      <c r="B91" s="2" t="s">
        <v>1315</v>
      </c>
      <c r="C91" s="2" t="s">
        <v>1313</v>
      </c>
      <c r="D91" s="2" t="s">
        <v>1487</v>
      </c>
      <c r="E91" s="2"/>
    </row>
    <row r="92" customFormat="false" ht="52.2" hidden="false" customHeight="false" outlineLevel="0" collapsed="false">
      <c r="A92" s="2" t="s">
        <v>233</v>
      </c>
      <c r="B92" s="2" t="s">
        <v>1488</v>
      </c>
      <c r="C92" s="2" t="s">
        <v>1313</v>
      </c>
      <c r="D92" s="2" t="s">
        <v>1489</v>
      </c>
      <c r="E92" s="2"/>
    </row>
    <row r="93" customFormat="false" ht="102.95" hidden="false" customHeight="false" outlineLevel="0" collapsed="false">
      <c r="A93" s="2" t="s">
        <v>233</v>
      </c>
      <c r="B93" s="2" t="s">
        <v>1490</v>
      </c>
      <c r="C93" s="2" t="s">
        <v>1313</v>
      </c>
      <c r="D93" s="2" t="s">
        <v>1491</v>
      </c>
      <c r="E93" s="2"/>
    </row>
    <row r="94" customFormat="false" ht="64.9" hidden="false" customHeight="false" outlineLevel="0" collapsed="false">
      <c r="A94" s="2" t="s">
        <v>233</v>
      </c>
      <c r="B94" s="2" t="s">
        <v>286</v>
      </c>
      <c r="C94" s="2" t="s">
        <v>1313</v>
      </c>
      <c r="D94" s="2" t="s">
        <v>1492</v>
      </c>
      <c r="E94" s="2" t="s">
        <v>1485</v>
      </c>
    </row>
    <row r="95" customFormat="false" ht="77.6" hidden="false" customHeight="false" outlineLevel="0" collapsed="false">
      <c r="A95" s="2" t="s">
        <v>233</v>
      </c>
      <c r="B95" s="2" t="s">
        <v>240</v>
      </c>
      <c r="C95" s="2" t="s">
        <v>1493</v>
      </c>
      <c r="D95" s="2" t="s">
        <v>1494</v>
      </c>
      <c r="E95" s="2" t="s">
        <v>234</v>
      </c>
    </row>
    <row r="96" customFormat="false" ht="90.25" hidden="false" customHeight="false" outlineLevel="0" collapsed="false">
      <c r="A96" s="2" t="s">
        <v>233</v>
      </c>
      <c r="B96" s="2" t="s">
        <v>244</v>
      </c>
      <c r="C96" s="2" t="s">
        <v>1493</v>
      </c>
      <c r="D96" s="2" t="s">
        <v>1495</v>
      </c>
      <c r="E96" s="2" t="s">
        <v>234</v>
      </c>
    </row>
    <row r="97" customFormat="false" ht="39.55" hidden="false" customHeight="false" outlineLevel="0" collapsed="false">
      <c r="A97" s="2" t="s">
        <v>233</v>
      </c>
      <c r="B97" s="2" t="s">
        <v>407</v>
      </c>
      <c r="C97" s="2" t="s">
        <v>1493</v>
      </c>
      <c r="D97" s="2" t="s">
        <v>1496</v>
      </c>
      <c r="E97" s="2" t="s">
        <v>234</v>
      </c>
    </row>
    <row r="98" customFormat="false" ht="77.6" hidden="false" customHeight="false" outlineLevel="0" collapsed="false">
      <c r="A98" s="2" t="s">
        <v>233</v>
      </c>
      <c r="B98" s="2" t="s">
        <v>1497</v>
      </c>
      <c r="C98" s="2" t="s">
        <v>1493</v>
      </c>
      <c r="D98" s="2" t="s">
        <v>1498</v>
      </c>
      <c r="E98" s="2" t="s">
        <v>1499</v>
      </c>
    </row>
    <row r="99" customFormat="false" ht="77.6" hidden="false" customHeight="false" outlineLevel="0" collapsed="false">
      <c r="A99" s="2" t="s">
        <v>233</v>
      </c>
      <c r="B99" s="2" t="s">
        <v>1500</v>
      </c>
      <c r="C99" s="2" t="s">
        <v>1493</v>
      </c>
      <c r="D99" s="2" t="s">
        <v>1501</v>
      </c>
      <c r="E99" s="2" t="s">
        <v>1499</v>
      </c>
    </row>
    <row r="100" customFormat="false" ht="77.6" hidden="false" customHeight="false" outlineLevel="0" collapsed="false">
      <c r="A100" s="2" t="s">
        <v>233</v>
      </c>
      <c r="B100" s="2" t="s">
        <v>472</v>
      </c>
      <c r="C100" s="2" t="s">
        <v>1493</v>
      </c>
      <c r="D100" s="2" t="s">
        <v>1502</v>
      </c>
      <c r="E100" s="2" t="s">
        <v>234</v>
      </c>
    </row>
    <row r="101" customFormat="false" ht="26.85" hidden="false" customHeight="false" outlineLevel="0" collapsed="false">
      <c r="A101" s="2" t="s">
        <v>233</v>
      </c>
      <c r="B101" s="2" t="s">
        <v>460</v>
      </c>
      <c r="C101" s="2" t="s">
        <v>1493</v>
      </c>
      <c r="D101" s="2" t="s">
        <v>459</v>
      </c>
      <c r="E101" s="2" t="s">
        <v>234</v>
      </c>
    </row>
    <row r="102" customFormat="false" ht="52.2" hidden="false" customHeight="false" outlineLevel="0" collapsed="false">
      <c r="A102" s="2" t="s">
        <v>233</v>
      </c>
      <c r="B102" s="2" t="s">
        <v>1503</v>
      </c>
      <c r="C102" s="2" t="s">
        <v>1493</v>
      </c>
      <c r="D102" s="2" t="s">
        <v>1504</v>
      </c>
      <c r="E102" s="2" t="s">
        <v>1499</v>
      </c>
    </row>
    <row r="103" customFormat="false" ht="64.9" hidden="false" customHeight="false" outlineLevel="0" collapsed="false">
      <c r="A103" s="2" t="s">
        <v>233</v>
      </c>
      <c r="B103" s="2" t="s">
        <v>426</v>
      </c>
      <c r="C103" s="2" t="s">
        <v>1493</v>
      </c>
      <c r="D103" s="2" t="s">
        <v>1505</v>
      </c>
      <c r="E103" s="2" t="s">
        <v>1485</v>
      </c>
    </row>
    <row r="104" customFormat="false" ht="77.6" hidden="false" customHeight="false" outlineLevel="0" collapsed="false">
      <c r="A104" s="2" t="s">
        <v>233</v>
      </c>
      <c r="B104" s="2" t="s">
        <v>1506</v>
      </c>
      <c r="C104" s="2" t="s">
        <v>1493</v>
      </c>
      <c r="D104" s="2" t="s">
        <v>1507</v>
      </c>
      <c r="E104" s="2" t="s">
        <v>1485</v>
      </c>
    </row>
    <row r="105" customFormat="false" ht="141" hidden="false" customHeight="false" outlineLevel="0" collapsed="false">
      <c r="A105" s="2" t="s">
        <v>233</v>
      </c>
      <c r="B105" s="2" t="s">
        <v>1317</v>
      </c>
      <c r="C105" s="2" t="s">
        <v>1508</v>
      </c>
      <c r="D105" s="2" t="s">
        <v>1509</v>
      </c>
      <c r="E105" s="2"/>
    </row>
    <row r="106" customFormat="false" ht="141" hidden="false" customHeight="false" outlineLevel="0" collapsed="false">
      <c r="A106" s="2" t="s">
        <v>233</v>
      </c>
      <c r="B106" s="2" t="s">
        <v>490</v>
      </c>
      <c r="C106" s="2" t="s">
        <v>1508</v>
      </c>
      <c r="D106" s="2" t="s">
        <v>1510</v>
      </c>
      <c r="E106" s="2" t="s">
        <v>1485</v>
      </c>
    </row>
    <row r="107" customFormat="false" ht="39.55" hidden="false" customHeight="false" outlineLevel="0" collapsed="false">
      <c r="A107" s="2" t="s">
        <v>233</v>
      </c>
      <c r="B107" s="2" t="s">
        <v>1511</v>
      </c>
      <c r="C107" s="2" t="s">
        <v>1508</v>
      </c>
      <c r="D107" s="2" t="s">
        <v>1512</v>
      </c>
      <c r="E107" s="2"/>
    </row>
    <row r="108" customFormat="false" ht="77.6" hidden="false" customHeight="false" outlineLevel="0" collapsed="false">
      <c r="A108" s="2" t="s">
        <v>233</v>
      </c>
      <c r="B108" s="2" t="s">
        <v>1513</v>
      </c>
      <c r="C108" s="2" t="s">
        <v>1508</v>
      </c>
      <c r="D108" s="2" t="s">
        <v>1514</v>
      </c>
      <c r="E108" s="2"/>
    </row>
    <row r="109" customFormat="false" ht="64.9" hidden="false" customHeight="false" outlineLevel="0" collapsed="false">
      <c r="A109" s="2" t="s">
        <v>233</v>
      </c>
      <c r="B109" s="2" t="s">
        <v>1320</v>
      </c>
      <c r="C109" s="2" t="s">
        <v>1387</v>
      </c>
      <c r="D109" s="2" t="s">
        <v>1515</v>
      </c>
      <c r="E109" s="2"/>
    </row>
    <row r="110" customFormat="false" ht="15" hidden="false" customHeight="false" outlineLevel="0" collapsed="false">
      <c r="A110" s="2" t="s">
        <v>233</v>
      </c>
      <c r="B110" s="2" t="s">
        <v>812</v>
      </c>
      <c r="C110" s="2" t="s">
        <v>1516</v>
      </c>
      <c r="D110" s="2" t="s">
        <v>1517</v>
      </c>
      <c r="E110" s="2"/>
    </row>
    <row r="111" customFormat="false" ht="15" hidden="false" customHeight="false" outlineLevel="0" collapsed="false">
      <c r="A111" s="2" t="s">
        <v>233</v>
      </c>
      <c r="B111" s="2" t="s">
        <v>654</v>
      </c>
      <c r="C111" s="2" t="s">
        <v>1518</v>
      </c>
      <c r="D111" s="2" t="s">
        <v>1519</v>
      </c>
      <c r="E111" s="2"/>
    </row>
    <row r="112" customFormat="false" ht="15" hidden="false" customHeight="false" outlineLevel="0" collapsed="false">
      <c r="A112" s="2" t="s">
        <v>233</v>
      </c>
      <c r="B112" s="2" t="s">
        <v>1520</v>
      </c>
      <c r="C112" s="2" t="s">
        <v>1521</v>
      </c>
      <c r="D112" s="2" t="s">
        <v>1522</v>
      </c>
      <c r="E112" s="2"/>
    </row>
    <row r="113" customFormat="false" ht="15" hidden="false" customHeight="false" outlineLevel="0" collapsed="false">
      <c r="A113" s="2" t="s">
        <v>233</v>
      </c>
      <c r="B113" s="2" t="s">
        <v>718</v>
      </c>
      <c r="C113" s="2" t="s">
        <v>1523</v>
      </c>
      <c r="D113" s="2" t="s">
        <v>1524</v>
      </c>
      <c r="E113" s="2"/>
    </row>
    <row r="114" customFormat="false" ht="15" hidden="false" customHeight="false" outlineLevel="0" collapsed="false">
      <c r="A114" s="2" t="s">
        <v>233</v>
      </c>
      <c r="B114" s="2" t="s">
        <v>1391</v>
      </c>
      <c r="C114" s="2" t="s">
        <v>1523</v>
      </c>
      <c r="D114" s="2" t="s">
        <v>1525</v>
      </c>
      <c r="E114" s="2"/>
    </row>
    <row r="115" customFormat="false" ht="15" hidden="false" customHeight="false" outlineLevel="0" collapsed="false">
      <c r="A115" s="2" t="s">
        <v>233</v>
      </c>
      <c r="B115" s="2" t="s">
        <v>1393</v>
      </c>
      <c r="C115" s="2" t="s">
        <v>1523</v>
      </c>
      <c r="D115" s="2" t="s">
        <v>1526</v>
      </c>
      <c r="E115" s="2"/>
    </row>
    <row r="116" customFormat="false" ht="15" hidden="false" customHeight="false" outlineLevel="0" collapsed="false">
      <c r="A116" s="2" t="s">
        <v>233</v>
      </c>
      <c r="B116" s="2" t="s">
        <v>1395</v>
      </c>
      <c r="C116" s="2" t="s">
        <v>1523</v>
      </c>
      <c r="D116" s="2" t="s">
        <v>1527</v>
      </c>
      <c r="E116" s="2"/>
    </row>
    <row r="117" customFormat="false" ht="15" hidden="false" customHeight="false" outlineLevel="0" collapsed="false">
      <c r="A117" s="2" t="s">
        <v>233</v>
      </c>
      <c r="B117" s="2" t="s">
        <v>1397</v>
      </c>
      <c r="C117" s="2" t="s">
        <v>1523</v>
      </c>
      <c r="D117" s="2" t="s">
        <v>1528</v>
      </c>
      <c r="E117" s="2"/>
    </row>
    <row r="118" customFormat="false" ht="15" hidden="false" customHeight="false" outlineLevel="0" collapsed="false">
      <c r="A118" s="2" t="s">
        <v>233</v>
      </c>
      <c r="B118" s="2" t="s">
        <v>1399</v>
      </c>
      <c r="C118" s="2" t="s">
        <v>1523</v>
      </c>
      <c r="D118" s="2" t="s">
        <v>1529</v>
      </c>
      <c r="E118" s="2"/>
    </row>
    <row r="119" customFormat="false" ht="15" hidden="false" customHeight="false" outlineLevel="0" collapsed="false">
      <c r="A119" s="2" t="s">
        <v>233</v>
      </c>
      <c r="B119" s="2" t="s">
        <v>1401</v>
      </c>
      <c r="C119" s="2" t="s">
        <v>1523</v>
      </c>
      <c r="D119" s="2" t="s">
        <v>1530</v>
      </c>
      <c r="E119" s="2"/>
    </row>
    <row r="120" customFormat="false" ht="15" hidden="false" customHeight="false" outlineLevel="0" collapsed="false">
      <c r="A120" s="2" t="s">
        <v>233</v>
      </c>
      <c r="B120" s="2" t="s">
        <v>1403</v>
      </c>
      <c r="C120" s="2" t="s">
        <v>1523</v>
      </c>
      <c r="D120" s="2" t="s">
        <v>1531</v>
      </c>
      <c r="E120" s="2"/>
    </row>
    <row r="121" customFormat="false" ht="15" hidden="false" customHeight="false" outlineLevel="0" collapsed="false">
      <c r="A121" s="2" t="s">
        <v>233</v>
      </c>
      <c r="B121" s="2" t="s">
        <v>1405</v>
      </c>
      <c r="C121" s="2" t="s">
        <v>1523</v>
      </c>
      <c r="D121" s="2" t="s">
        <v>1532</v>
      </c>
      <c r="E121" s="2"/>
    </row>
    <row r="122" customFormat="false" ht="15" hidden="false" customHeight="false" outlineLevel="0" collapsed="false">
      <c r="A122" s="2" t="s">
        <v>233</v>
      </c>
      <c r="B122" s="2" t="s">
        <v>1407</v>
      </c>
      <c r="C122" s="2" t="s">
        <v>1523</v>
      </c>
      <c r="D122" s="2" t="s">
        <v>1533</v>
      </c>
      <c r="E122" s="2"/>
    </row>
    <row r="123" customFormat="false" ht="15" hidden="false" customHeight="false" outlineLevel="0" collapsed="false">
      <c r="A123" s="2" t="s">
        <v>233</v>
      </c>
      <c r="B123" s="2" t="s">
        <v>1409</v>
      </c>
      <c r="C123" s="2" t="s">
        <v>1523</v>
      </c>
      <c r="D123" s="2" t="s">
        <v>1534</v>
      </c>
      <c r="E123" s="2"/>
    </row>
    <row r="124" customFormat="false" ht="15" hidden="false" customHeight="false" outlineLevel="0" collapsed="false">
      <c r="A124" s="2" t="s">
        <v>233</v>
      </c>
      <c r="B124" s="2" t="s">
        <v>1410</v>
      </c>
      <c r="C124" s="2" t="s">
        <v>1523</v>
      </c>
      <c r="D124" s="2" t="s">
        <v>1535</v>
      </c>
      <c r="E124" s="2"/>
    </row>
    <row r="125" customFormat="false" ht="15" hidden="false" customHeight="false" outlineLevel="0" collapsed="false">
      <c r="A125" s="2" t="s">
        <v>233</v>
      </c>
      <c r="B125" s="2" t="s">
        <v>1412</v>
      </c>
      <c r="C125" s="2" t="s">
        <v>1523</v>
      </c>
      <c r="D125" s="2" t="s">
        <v>1536</v>
      </c>
      <c r="E125" s="2"/>
    </row>
    <row r="126" customFormat="false" ht="15" hidden="false" customHeight="false" outlineLevel="0" collapsed="false">
      <c r="A126" s="2" t="s">
        <v>233</v>
      </c>
      <c r="B126" s="2" t="s">
        <v>1414</v>
      </c>
      <c r="C126" s="2" t="s">
        <v>1523</v>
      </c>
      <c r="D126" s="2" t="s">
        <v>1537</v>
      </c>
      <c r="E126" s="2"/>
    </row>
    <row r="127" customFormat="false" ht="15" hidden="false" customHeight="false" outlineLevel="0" collapsed="false">
      <c r="A127" s="2" t="s">
        <v>233</v>
      </c>
      <c r="B127" s="2" t="s">
        <v>1416</v>
      </c>
      <c r="C127" s="2" t="s">
        <v>1523</v>
      </c>
      <c r="D127" s="2" t="s">
        <v>1538</v>
      </c>
      <c r="E127" s="2"/>
    </row>
    <row r="128" customFormat="false" ht="15" hidden="false" customHeight="false" outlineLevel="0" collapsed="false">
      <c r="A128" s="2" t="s">
        <v>233</v>
      </c>
      <c r="B128" s="2" t="s">
        <v>1539</v>
      </c>
      <c r="C128" s="2" t="s">
        <v>1523</v>
      </c>
      <c r="D128" s="2" t="s">
        <v>1540</v>
      </c>
      <c r="E128" s="2"/>
    </row>
    <row r="129" customFormat="false" ht="15" hidden="false" customHeight="false" outlineLevel="0" collapsed="false">
      <c r="A129" s="2" t="s">
        <v>233</v>
      </c>
      <c r="B129" s="2" t="s">
        <v>1541</v>
      </c>
      <c r="C129" s="2" t="s">
        <v>1523</v>
      </c>
      <c r="D129" s="2" t="s">
        <v>1542</v>
      </c>
      <c r="E129" s="2"/>
    </row>
    <row r="130" customFormat="false" ht="15" hidden="false" customHeight="false" outlineLevel="0" collapsed="false">
      <c r="A130" s="2" t="s">
        <v>233</v>
      </c>
      <c r="B130" s="2" t="s">
        <v>1543</v>
      </c>
      <c r="C130" s="2" t="s">
        <v>1523</v>
      </c>
      <c r="D130" s="2" t="s">
        <v>1544</v>
      </c>
      <c r="E130" s="2"/>
    </row>
    <row r="131" customFormat="false" ht="15" hidden="false" customHeight="false" outlineLevel="0" collapsed="false">
      <c r="A131" s="2" t="s">
        <v>233</v>
      </c>
      <c r="B131" s="2" t="s">
        <v>1545</v>
      </c>
      <c r="C131" s="2" t="s">
        <v>1523</v>
      </c>
      <c r="D131" s="2" t="s">
        <v>1546</v>
      </c>
      <c r="E131" s="2"/>
    </row>
    <row r="132" customFormat="false" ht="15" hidden="false" customHeight="false" outlineLevel="0" collapsed="false">
      <c r="A132" s="2" t="s">
        <v>233</v>
      </c>
      <c r="B132" s="2" t="s">
        <v>1547</v>
      </c>
      <c r="C132" s="2" t="s">
        <v>1523</v>
      </c>
      <c r="D132" s="2" t="s">
        <v>1548</v>
      </c>
      <c r="E132" s="2"/>
    </row>
    <row r="133" customFormat="false" ht="15" hidden="false" customHeight="false" outlineLevel="0" collapsed="false">
      <c r="A133" s="2" t="s">
        <v>233</v>
      </c>
      <c r="B133" s="2" t="s">
        <v>1549</v>
      </c>
      <c r="C133" s="2" t="s">
        <v>1523</v>
      </c>
      <c r="D133" s="2" t="s">
        <v>1550</v>
      </c>
      <c r="E133" s="2"/>
    </row>
    <row r="134" customFormat="false" ht="15" hidden="false" customHeight="false" outlineLevel="0" collapsed="false">
      <c r="A134" s="2" t="s">
        <v>233</v>
      </c>
      <c r="B134" s="2" t="s">
        <v>1551</v>
      </c>
      <c r="C134" s="2" t="s">
        <v>1523</v>
      </c>
      <c r="D134" s="2" t="s">
        <v>1552</v>
      </c>
      <c r="E134" s="2"/>
    </row>
    <row r="135" customFormat="false" ht="26.85" hidden="false" customHeight="false" outlineLevel="0" collapsed="false">
      <c r="A135" s="2" t="s">
        <v>495</v>
      </c>
      <c r="B135" s="2" t="s">
        <v>1307</v>
      </c>
      <c r="C135" s="2"/>
      <c r="D135" s="2" t="s">
        <v>1553</v>
      </c>
      <c r="E135" s="2"/>
    </row>
    <row r="136" customFormat="false" ht="179.1" hidden="false" customHeight="false" outlineLevel="0" collapsed="false">
      <c r="A136" s="2" t="s">
        <v>495</v>
      </c>
      <c r="B136" s="2" t="s">
        <v>291</v>
      </c>
      <c r="C136" s="2" t="s">
        <v>1309</v>
      </c>
      <c r="D136" s="2" t="s">
        <v>1554</v>
      </c>
      <c r="E136" s="2" t="s">
        <v>1555</v>
      </c>
    </row>
    <row r="137" customFormat="false" ht="141" hidden="false" customHeight="false" outlineLevel="0" collapsed="false">
      <c r="A137" s="2" t="s">
        <v>495</v>
      </c>
      <c r="B137" s="2" t="s">
        <v>1312</v>
      </c>
      <c r="C137" s="2" t="s">
        <v>1556</v>
      </c>
      <c r="D137" s="2" t="s">
        <v>1557</v>
      </c>
      <c r="E137" s="2"/>
    </row>
    <row r="138" customFormat="false" ht="153.7" hidden="false" customHeight="false" outlineLevel="0" collapsed="false">
      <c r="A138" s="2" t="s">
        <v>495</v>
      </c>
      <c r="B138" s="2" t="s">
        <v>1315</v>
      </c>
      <c r="C138" s="2" t="s">
        <v>1556</v>
      </c>
      <c r="D138" s="2" t="s">
        <v>1558</v>
      </c>
      <c r="E138" s="2"/>
    </row>
    <row r="139" customFormat="false" ht="90.25" hidden="false" customHeight="false" outlineLevel="0" collapsed="false">
      <c r="A139" s="2" t="s">
        <v>495</v>
      </c>
      <c r="B139" s="2" t="s">
        <v>1488</v>
      </c>
      <c r="C139" s="2" t="s">
        <v>1556</v>
      </c>
      <c r="D139" s="2" t="s">
        <v>1559</v>
      </c>
      <c r="E139" s="2"/>
    </row>
    <row r="140" customFormat="false" ht="52.2" hidden="false" customHeight="false" outlineLevel="0" collapsed="false">
      <c r="A140" s="2" t="s">
        <v>495</v>
      </c>
      <c r="B140" s="2" t="s">
        <v>1317</v>
      </c>
      <c r="C140" s="2" t="s">
        <v>1560</v>
      </c>
      <c r="D140" s="2" t="s">
        <v>1561</v>
      </c>
      <c r="E140" s="2" t="s">
        <v>1555</v>
      </c>
    </row>
    <row r="141" customFormat="false" ht="90.25" hidden="false" customHeight="false" outlineLevel="0" collapsed="false">
      <c r="A141" s="2" t="s">
        <v>495</v>
      </c>
      <c r="B141" s="2" t="s">
        <v>1320</v>
      </c>
      <c r="C141" s="2" t="s">
        <v>1562</v>
      </c>
      <c r="D141" s="2" t="s">
        <v>1563</v>
      </c>
      <c r="E141" s="2" t="s">
        <v>1555</v>
      </c>
    </row>
    <row r="142" customFormat="false" ht="39.55" hidden="false" customHeight="false" outlineLevel="0" collapsed="false">
      <c r="A142" s="2" t="s">
        <v>495</v>
      </c>
      <c r="B142" s="2" t="s">
        <v>1564</v>
      </c>
      <c r="C142" s="2" t="s">
        <v>1562</v>
      </c>
      <c r="D142" s="2" t="s">
        <v>1565</v>
      </c>
      <c r="E142" s="2" t="s">
        <v>496</v>
      </c>
    </row>
    <row r="143" customFormat="false" ht="52.2" hidden="false" customHeight="false" outlineLevel="0" collapsed="false">
      <c r="A143" s="2" t="s">
        <v>495</v>
      </c>
      <c r="B143" s="2" t="s">
        <v>729</v>
      </c>
      <c r="C143" s="2" t="s">
        <v>1566</v>
      </c>
      <c r="D143" s="2" t="s">
        <v>1567</v>
      </c>
      <c r="E143" s="2" t="s">
        <v>1568</v>
      </c>
    </row>
    <row r="144" customFormat="false" ht="39.55" hidden="false" customHeight="false" outlineLevel="0" collapsed="false">
      <c r="A144" s="2" t="s">
        <v>495</v>
      </c>
      <c r="B144" s="2" t="s">
        <v>669</v>
      </c>
      <c r="C144" s="2" t="s">
        <v>1566</v>
      </c>
      <c r="D144" s="2" t="s">
        <v>1569</v>
      </c>
      <c r="E144" s="2" t="s">
        <v>1568</v>
      </c>
    </row>
    <row r="145" customFormat="false" ht="90.25" hidden="false" customHeight="false" outlineLevel="0" collapsed="false">
      <c r="A145" s="2" t="s">
        <v>495</v>
      </c>
      <c r="B145" s="2" t="s">
        <v>812</v>
      </c>
      <c r="C145" s="2" t="s">
        <v>1570</v>
      </c>
      <c r="D145" s="2" t="s">
        <v>1571</v>
      </c>
      <c r="E145" s="2"/>
    </row>
    <row r="146" customFormat="false" ht="179.1" hidden="false" customHeight="false" outlineLevel="0" collapsed="false">
      <c r="A146" s="2" t="s">
        <v>495</v>
      </c>
      <c r="B146" s="2" t="s">
        <v>654</v>
      </c>
      <c r="C146" s="2" t="s">
        <v>1572</v>
      </c>
      <c r="D146" s="2" t="s">
        <v>1573</v>
      </c>
      <c r="E146" s="2" t="s">
        <v>1568</v>
      </c>
    </row>
    <row r="147" customFormat="false" ht="52.2" hidden="false" customHeight="false" outlineLevel="0" collapsed="false">
      <c r="A147" s="2" t="s">
        <v>495</v>
      </c>
      <c r="B147" s="2" t="s">
        <v>691</v>
      </c>
      <c r="C147" s="2" t="s">
        <v>1572</v>
      </c>
      <c r="D147" s="2" t="s">
        <v>1574</v>
      </c>
      <c r="E147" s="2" t="s">
        <v>1568</v>
      </c>
    </row>
    <row r="148" customFormat="false" ht="64.9" hidden="false" customHeight="false" outlineLevel="0" collapsed="false">
      <c r="A148" s="2" t="s">
        <v>495</v>
      </c>
      <c r="B148" s="2" t="s">
        <v>1520</v>
      </c>
      <c r="C148" s="2" t="s">
        <v>1575</v>
      </c>
      <c r="D148" s="2" t="s">
        <v>1576</v>
      </c>
      <c r="E148" s="2"/>
    </row>
    <row r="149" customFormat="false" ht="90.25" hidden="false" customHeight="false" outlineLevel="0" collapsed="false">
      <c r="A149" s="2" t="s">
        <v>495</v>
      </c>
      <c r="B149" s="2" t="s">
        <v>697</v>
      </c>
      <c r="C149" s="2" t="s">
        <v>1575</v>
      </c>
      <c r="D149" s="2" t="s">
        <v>1577</v>
      </c>
      <c r="E149" s="2" t="s">
        <v>1568</v>
      </c>
    </row>
    <row r="150" customFormat="false" ht="64.9" hidden="false" customHeight="false" outlineLevel="0" collapsed="false">
      <c r="A150" s="2" t="s">
        <v>495</v>
      </c>
      <c r="B150" s="2" t="s">
        <v>675</v>
      </c>
      <c r="C150" s="2" t="s">
        <v>1578</v>
      </c>
      <c r="D150" s="2" t="s">
        <v>1579</v>
      </c>
      <c r="E150" s="2" t="s">
        <v>1568</v>
      </c>
    </row>
    <row r="151" customFormat="false" ht="153.7" hidden="false" customHeight="false" outlineLevel="0" collapsed="false">
      <c r="A151" s="2" t="s">
        <v>495</v>
      </c>
      <c r="B151" s="2" t="s">
        <v>80</v>
      </c>
      <c r="C151" s="2" t="s">
        <v>1580</v>
      </c>
      <c r="D151" s="2" t="s">
        <v>1581</v>
      </c>
      <c r="E151" s="2" t="s">
        <v>1555</v>
      </c>
    </row>
    <row r="152" customFormat="false" ht="64.9" hidden="false" customHeight="false" outlineLevel="0" collapsed="false">
      <c r="A152" s="2" t="s">
        <v>495</v>
      </c>
      <c r="B152" s="2" t="s">
        <v>1332</v>
      </c>
      <c r="C152" s="2" t="s">
        <v>1580</v>
      </c>
      <c r="D152" s="2" t="s">
        <v>1582</v>
      </c>
      <c r="E152" s="2" t="s">
        <v>1568</v>
      </c>
    </row>
    <row r="153" customFormat="false" ht="204.45" hidden="false" customHeight="false" outlineLevel="0" collapsed="false">
      <c r="A153" s="2" t="s">
        <v>495</v>
      </c>
      <c r="B153" s="2" t="s">
        <v>1334</v>
      </c>
      <c r="C153" s="2" t="s">
        <v>1580</v>
      </c>
      <c r="D153" s="2" t="s">
        <v>1583</v>
      </c>
      <c r="E153" s="2"/>
    </row>
    <row r="154" customFormat="false" ht="102.95" hidden="false" customHeight="false" outlineLevel="0" collapsed="false">
      <c r="A154" s="2" t="s">
        <v>495</v>
      </c>
      <c r="B154" s="2" t="s">
        <v>1584</v>
      </c>
      <c r="C154" s="2" t="s">
        <v>1580</v>
      </c>
      <c r="D154" s="2" t="s">
        <v>1585</v>
      </c>
      <c r="E154" s="2"/>
    </row>
    <row r="155" customFormat="false" ht="153.7" hidden="false" customHeight="false" outlineLevel="0" collapsed="false">
      <c r="A155" s="2" t="s">
        <v>495</v>
      </c>
      <c r="B155" s="2" t="s">
        <v>1586</v>
      </c>
      <c r="C155" s="2" t="s">
        <v>1580</v>
      </c>
      <c r="D155" s="2" t="s">
        <v>1587</v>
      </c>
      <c r="E155" s="2" t="s">
        <v>1568</v>
      </c>
    </row>
    <row r="156" customFormat="false" ht="128.35" hidden="false" customHeight="false" outlineLevel="0" collapsed="false">
      <c r="A156" s="2" t="s">
        <v>495</v>
      </c>
      <c r="B156" s="2" t="s">
        <v>681</v>
      </c>
      <c r="C156" s="2" t="s">
        <v>1580</v>
      </c>
      <c r="D156" s="2" t="s">
        <v>1588</v>
      </c>
      <c r="E156" s="2" t="s">
        <v>1568</v>
      </c>
    </row>
    <row r="157" customFormat="false" ht="102.95" hidden="false" customHeight="false" outlineLevel="0" collapsed="false">
      <c r="A157" s="2" t="s">
        <v>495</v>
      </c>
      <c r="B157" s="2" t="s">
        <v>507</v>
      </c>
      <c r="C157" s="2" t="s">
        <v>1589</v>
      </c>
      <c r="D157" s="2" t="s">
        <v>1590</v>
      </c>
      <c r="E157" s="2" t="s">
        <v>1555</v>
      </c>
    </row>
    <row r="158" customFormat="false" ht="102.95" hidden="false" customHeight="false" outlineLevel="0" collapsed="false">
      <c r="A158" s="2" t="s">
        <v>495</v>
      </c>
      <c r="B158" s="2" t="s">
        <v>503</v>
      </c>
      <c r="C158" s="2" t="s">
        <v>1589</v>
      </c>
      <c r="D158" s="2" t="s">
        <v>1591</v>
      </c>
      <c r="E158" s="2" t="s">
        <v>1555</v>
      </c>
    </row>
    <row r="159" customFormat="false" ht="77.6" hidden="false" customHeight="false" outlineLevel="0" collapsed="false">
      <c r="A159" s="2" t="s">
        <v>495</v>
      </c>
      <c r="B159" s="2" t="s">
        <v>1592</v>
      </c>
      <c r="C159" s="2" t="s">
        <v>1593</v>
      </c>
      <c r="D159" s="2" t="s">
        <v>1594</v>
      </c>
      <c r="E159" s="2" t="s">
        <v>1568</v>
      </c>
    </row>
    <row r="160" customFormat="false" ht="64.9" hidden="false" customHeight="false" outlineLevel="0" collapsed="false">
      <c r="A160" s="2" t="s">
        <v>495</v>
      </c>
      <c r="B160" s="2" t="s">
        <v>1342</v>
      </c>
      <c r="C160" s="2" t="s">
        <v>1595</v>
      </c>
      <c r="D160" s="2" t="s">
        <v>1596</v>
      </c>
      <c r="E160" s="2"/>
    </row>
    <row r="161" customFormat="false" ht="115.65" hidden="false" customHeight="false" outlineLevel="0" collapsed="false">
      <c r="A161" s="2" t="s">
        <v>495</v>
      </c>
      <c r="B161" s="2" t="s">
        <v>1351</v>
      </c>
      <c r="C161" s="2" t="s">
        <v>1597</v>
      </c>
      <c r="D161" s="2" t="s">
        <v>1598</v>
      </c>
      <c r="E161" s="2"/>
    </row>
    <row r="162" customFormat="false" ht="52.2" hidden="false" customHeight="false" outlineLevel="0" collapsed="false">
      <c r="A162" s="2" t="s">
        <v>495</v>
      </c>
      <c r="B162" s="2" t="s">
        <v>1364</v>
      </c>
      <c r="C162" s="2" t="s">
        <v>1599</v>
      </c>
      <c r="D162" s="2" t="s">
        <v>1600</v>
      </c>
      <c r="E162" s="2" t="s">
        <v>496</v>
      </c>
    </row>
    <row r="163" customFormat="false" ht="64.9" hidden="false" customHeight="false" outlineLevel="0" collapsed="false">
      <c r="A163" s="2" t="s">
        <v>495</v>
      </c>
      <c r="B163" s="2" t="s">
        <v>1379</v>
      </c>
      <c r="C163" s="2" t="s">
        <v>1601</v>
      </c>
      <c r="D163" s="2" t="s">
        <v>1602</v>
      </c>
      <c r="E163" s="2"/>
    </row>
    <row r="164" customFormat="false" ht="153.7" hidden="false" customHeight="false" outlineLevel="0" collapsed="false">
      <c r="A164" s="2" t="s">
        <v>495</v>
      </c>
      <c r="B164" s="2" t="s">
        <v>1386</v>
      </c>
      <c r="C164" s="2" t="s">
        <v>1603</v>
      </c>
      <c r="D164" s="2" t="s">
        <v>1604</v>
      </c>
      <c r="E164" s="2"/>
    </row>
    <row r="165" customFormat="false" ht="102.95" hidden="false" customHeight="false" outlineLevel="0" collapsed="false">
      <c r="A165" s="2" t="s">
        <v>495</v>
      </c>
      <c r="B165" s="2" t="s">
        <v>1605</v>
      </c>
      <c r="C165" s="2" t="s">
        <v>1606</v>
      </c>
      <c r="D165" s="2" t="s">
        <v>1607</v>
      </c>
      <c r="E165" s="2"/>
    </row>
    <row r="166" customFormat="false" ht="77.6" hidden="false" customHeight="false" outlineLevel="0" collapsed="false">
      <c r="A166" s="2" t="s">
        <v>495</v>
      </c>
      <c r="B166" s="2" t="s">
        <v>1608</v>
      </c>
      <c r="C166" s="2" t="s">
        <v>1609</v>
      </c>
      <c r="D166" s="2" t="s">
        <v>1610</v>
      </c>
      <c r="E166" s="2"/>
    </row>
    <row r="167" customFormat="false" ht="90.25" hidden="false" customHeight="false" outlineLevel="0" collapsed="false">
      <c r="A167" s="2" t="s">
        <v>495</v>
      </c>
      <c r="B167" s="2" t="s">
        <v>1611</v>
      </c>
      <c r="C167" s="2" t="s">
        <v>1612</v>
      </c>
      <c r="D167" s="2" t="s">
        <v>1613</v>
      </c>
      <c r="E167" s="2"/>
    </row>
    <row r="168" customFormat="false" ht="64.9" hidden="false" customHeight="false" outlineLevel="0" collapsed="false">
      <c r="A168" s="2" t="s">
        <v>495</v>
      </c>
      <c r="B168" s="2" t="s">
        <v>1614</v>
      </c>
      <c r="C168" s="2" t="s">
        <v>1615</v>
      </c>
      <c r="D168" s="2" t="s">
        <v>1616</v>
      </c>
      <c r="E168" s="2"/>
    </row>
    <row r="169" customFormat="false" ht="102.95" hidden="false" customHeight="false" outlineLevel="0" collapsed="false">
      <c r="A169" s="2" t="s">
        <v>495</v>
      </c>
      <c r="B169" s="2" t="s">
        <v>1617</v>
      </c>
      <c r="C169" s="2" t="s">
        <v>1618</v>
      </c>
      <c r="D169" s="2" t="s">
        <v>1619</v>
      </c>
      <c r="E169" s="2"/>
    </row>
    <row r="170" customFormat="false" ht="191.75" hidden="false" customHeight="false" outlineLevel="0" collapsed="false">
      <c r="A170" s="2" t="s">
        <v>495</v>
      </c>
      <c r="B170" s="2" t="s">
        <v>1620</v>
      </c>
      <c r="C170" s="2" t="s">
        <v>1621</v>
      </c>
      <c r="D170" s="2" t="s">
        <v>1622</v>
      </c>
      <c r="E170" s="2"/>
    </row>
    <row r="171" customFormat="false" ht="26.85" hidden="false" customHeight="false" outlineLevel="0" collapsed="false">
      <c r="A171" s="2" t="s">
        <v>495</v>
      </c>
      <c r="B171" s="2" t="s">
        <v>1623</v>
      </c>
      <c r="C171" s="2" t="s">
        <v>1624</v>
      </c>
      <c r="D171" s="2" t="s">
        <v>1625</v>
      </c>
      <c r="E171" s="2"/>
    </row>
    <row r="172" customFormat="false" ht="77.6" hidden="false" customHeight="false" outlineLevel="0" collapsed="false">
      <c r="A172" s="2" t="s">
        <v>495</v>
      </c>
      <c r="B172" s="2" t="s">
        <v>718</v>
      </c>
      <c r="C172" s="2" t="s">
        <v>1389</v>
      </c>
      <c r="D172" s="2" t="s">
        <v>1626</v>
      </c>
      <c r="E172" s="2"/>
    </row>
    <row r="173" customFormat="false" ht="15" hidden="false" customHeight="false" outlineLevel="0" collapsed="false">
      <c r="A173" s="2" t="s">
        <v>495</v>
      </c>
      <c r="B173" s="2" t="s">
        <v>1391</v>
      </c>
      <c r="C173" s="2" t="s">
        <v>1389</v>
      </c>
      <c r="D173" s="2" t="s">
        <v>1627</v>
      </c>
      <c r="E173" s="2"/>
    </row>
    <row r="174" customFormat="false" ht="15" hidden="false" customHeight="false" outlineLevel="0" collapsed="false">
      <c r="A174" s="2" t="s">
        <v>495</v>
      </c>
      <c r="B174" s="2" t="s">
        <v>1393</v>
      </c>
      <c r="C174" s="2" t="s">
        <v>1389</v>
      </c>
      <c r="D174" s="2" t="s">
        <v>1628</v>
      </c>
      <c r="E174" s="2"/>
    </row>
    <row r="175" customFormat="false" ht="15" hidden="false" customHeight="false" outlineLevel="0" collapsed="false">
      <c r="A175" s="2" t="s">
        <v>495</v>
      </c>
      <c r="B175" s="2" t="s">
        <v>1395</v>
      </c>
      <c r="C175" s="2" t="s">
        <v>1389</v>
      </c>
      <c r="D175" s="2" t="s">
        <v>1629</v>
      </c>
      <c r="E175" s="2"/>
    </row>
    <row r="176" customFormat="false" ht="15" hidden="false" customHeight="false" outlineLevel="0" collapsed="false">
      <c r="A176" s="2" t="s">
        <v>495</v>
      </c>
      <c r="B176" s="2" t="s">
        <v>1397</v>
      </c>
      <c r="C176" s="2" t="s">
        <v>1389</v>
      </c>
      <c r="D176" s="2" t="s">
        <v>1630</v>
      </c>
      <c r="E176" s="2"/>
    </row>
    <row r="177" customFormat="false" ht="15" hidden="false" customHeight="false" outlineLevel="0" collapsed="false">
      <c r="A177" s="2" t="s">
        <v>495</v>
      </c>
      <c r="B177" s="2" t="s">
        <v>1399</v>
      </c>
      <c r="C177" s="2" t="s">
        <v>1389</v>
      </c>
      <c r="D177" s="2" t="s">
        <v>1631</v>
      </c>
      <c r="E177" s="2"/>
    </row>
    <row r="178" customFormat="false" ht="15" hidden="false" customHeight="false" outlineLevel="0" collapsed="false">
      <c r="A178" s="2" t="s">
        <v>495</v>
      </c>
      <c r="B178" s="2" t="s">
        <v>1401</v>
      </c>
      <c r="C178" s="2" t="s">
        <v>1389</v>
      </c>
      <c r="D178" s="2" t="s">
        <v>1632</v>
      </c>
      <c r="E178" s="2"/>
    </row>
    <row r="179" customFormat="false" ht="15" hidden="false" customHeight="false" outlineLevel="0" collapsed="false">
      <c r="A179" s="2" t="s">
        <v>495</v>
      </c>
      <c r="B179" s="2" t="s">
        <v>1403</v>
      </c>
      <c r="C179" s="2" t="s">
        <v>1389</v>
      </c>
      <c r="D179" s="2" t="s">
        <v>1633</v>
      </c>
      <c r="E179" s="2"/>
    </row>
    <row r="180" customFormat="false" ht="15" hidden="false" customHeight="false" outlineLevel="0" collapsed="false">
      <c r="A180" s="2" t="s">
        <v>495</v>
      </c>
      <c r="B180" s="2" t="s">
        <v>1405</v>
      </c>
      <c r="C180" s="2" t="s">
        <v>1389</v>
      </c>
      <c r="D180" s="2" t="s">
        <v>1634</v>
      </c>
      <c r="E180" s="2"/>
    </row>
    <row r="181" customFormat="false" ht="15" hidden="false" customHeight="false" outlineLevel="0" collapsed="false">
      <c r="A181" s="2" t="s">
        <v>495</v>
      </c>
      <c r="B181" s="2" t="s">
        <v>1407</v>
      </c>
      <c r="C181" s="2" t="s">
        <v>1389</v>
      </c>
      <c r="D181" s="2" t="s">
        <v>1635</v>
      </c>
      <c r="E181" s="2"/>
    </row>
    <row r="182" customFormat="false" ht="15" hidden="false" customHeight="false" outlineLevel="0" collapsed="false">
      <c r="A182" s="2" t="s">
        <v>495</v>
      </c>
      <c r="B182" s="2" t="s">
        <v>1409</v>
      </c>
      <c r="C182" s="2" t="s">
        <v>1389</v>
      </c>
      <c r="D182" s="2" t="s">
        <v>1636</v>
      </c>
      <c r="E182" s="2"/>
    </row>
    <row r="183" customFormat="false" ht="15" hidden="false" customHeight="false" outlineLevel="0" collapsed="false">
      <c r="A183" s="2" t="s">
        <v>495</v>
      </c>
      <c r="B183" s="2" t="s">
        <v>1410</v>
      </c>
      <c r="C183" s="2" t="s">
        <v>1389</v>
      </c>
      <c r="D183" s="2" t="s">
        <v>1637</v>
      </c>
      <c r="E183" s="2"/>
    </row>
    <row r="184" customFormat="false" ht="15" hidden="false" customHeight="false" outlineLevel="0" collapsed="false">
      <c r="A184" s="2" t="s">
        <v>495</v>
      </c>
      <c r="B184" s="2" t="s">
        <v>1412</v>
      </c>
      <c r="C184" s="2" t="s">
        <v>1389</v>
      </c>
      <c r="D184" s="2" t="s">
        <v>1638</v>
      </c>
      <c r="E184" s="2"/>
    </row>
    <row r="185" customFormat="false" ht="15" hidden="false" customHeight="false" outlineLevel="0" collapsed="false">
      <c r="A185" s="2" t="s">
        <v>495</v>
      </c>
      <c r="B185" s="2" t="s">
        <v>1414</v>
      </c>
      <c r="C185" s="2" t="s">
        <v>1389</v>
      </c>
      <c r="D185" s="2" t="s">
        <v>1639</v>
      </c>
      <c r="E185" s="2"/>
    </row>
    <row r="186" customFormat="false" ht="15" hidden="false" customHeight="false" outlineLevel="0" collapsed="false">
      <c r="A186" s="2" t="s">
        <v>495</v>
      </c>
      <c r="B186" s="2" t="s">
        <v>1416</v>
      </c>
      <c r="C186" s="2" t="s">
        <v>1389</v>
      </c>
      <c r="D186" s="2" t="s">
        <v>1640</v>
      </c>
      <c r="E186" s="2"/>
    </row>
    <row r="187" customFormat="false" ht="15" hidden="false" customHeight="false" outlineLevel="0" collapsed="false">
      <c r="A187" s="2" t="s">
        <v>495</v>
      </c>
      <c r="B187" s="2" t="s">
        <v>1539</v>
      </c>
      <c r="C187" s="2" t="s">
        <v>1389</v>
      </c>
      <c r="D187" s="2" t="s">
        <v>1641</v>
      </c>
      <c r="E187" s="2"/>
    </row>
    <row r="188" customFormat="false" ht="26.85" hidden="false" customHeight="false" outlineLevel="0" collapsed="false">
      <c r="A188" s="2" t="s">
        <v>721</v>
      </c>
      <c r="B188" s="2" t="s">
        <v>1307</v>
      </c>
      <c r="C188" s="2"/>
      <c r="D188" s="2" t="s">
        <v>1642</v>
      </c>
      <c r="E188" s="2"/>
    </row>
    <row r="189" customFormat="false" ht="267.9" hidden="false" customHeight="false" outlineLevel="0" collapsed="false">
      <c r="A189" s="2" t="s">
        <v>721</v>
      </c>
      <c r="B189" s="2" t="s">
        <v>291</v>
      </c>
      <c r="C189" s="2" t="s">
        <v>1309</v>
      </c>
      <c r="D189" s="2" t="s">
        <v>1643</v>
      </c>
      <c r="E189" s="2" t="s">
        <v>722</v>
      </c>
    </row>
    <row r="190" customFormat="false" ht="77.6" hidden="false" customHeight="false" outlineLevel="0" collapsed="false">
      <c r="A190" s="2" t="s">
        <v>721</v>
      </c>
      <c r="B190" s="2" t="s">
        <v>1312</v>
      </c>
      <c r="C190" s="2" t="s">
        <v>1313</v>
      </c>
      <c r="D190" s="2" t="s">
        <v>1644</v>
      </c>
      <c r="E190" s="2"/>
    </row>
    <row r="191" customFormat="false" ht="64.9" hidden="false" customHeight="false" outlineLevel="0" collapsed="false">
      <c r="A191" s="2" t="s">
        <v>721</v>
      </c>
      <c r="B191" s="2" t="s">
        <v>1315</v>
      </c>
      <c r="C191" s="2" t="s">
        <v>1313</v>
      </c>
      <c r="D191" s="2" t="s">
        <v>1645</v>
      </c>
      <c r="E191" s="2"/>
    </row>
    <row r="192" customFormat="false" ht="52.2" hidden="false" customHeight="false" outlineLevel="0" collapsed="false">
      <c r="A192" s="2" t="s">
        <v>721</v>
      </c>
      <c r="B192" s="2" t="s">
        <v>1488</v>
      </c>
      <c r="C192" s="2" t="s">
        <v>1313</v>
      </c>
      <c r="D192" s="2" t="s">
        <v>1646</v>
      </c>
      <c r="E192" s="2"/>
    </row>
    <row r="193" customFormat="false" ht="52.2" hidden="false" customHeight="false" outlineLevel="0" collapsed="false">
      <c r="A193" s="2" t="s">
        <v>721</v>
      </c>
      <c r="B193" s="2" t="s">
        <v>1490</v>
      </c>
      <c r="C193" s="2" t="s">
        <v>1313</v>
      </c>
      <c r="D193" s="2" t="s">
        <v>1647</v>
      </c>
      <c r="E193" s="2"/>
    </row>
    <row r="194" customFormat="false" ht="52.2" hidden="false" customHeight="false" outlineLevel="0" collapsed="false">
      <c r="A194" s="2" t="s">
        <v>721</v>
      </c>
      <c r="B194" s="2" t="s">
        <v>286</v>
      </c>
      <c r="C194" s="2" t="s">
        <v>1313</v>
      </c>
      <c r="D194" s="2" t="s">
        <v>1648</v>
      </c>
      <c r="E194" s="2"/>
    </row>
    <row r="195" customFormat="false" ht="77.6" hidden="false" customHeight="false" outlineLevel="0" collapsed="false">
      <c r="A195" s="2" t="s">
        <v>721</v>
      </c>
      <c r="B195" s="2" t="s">
        <v>1649</v>
      </c>
      <c r="C195" s="2" t="s">
        <v>1313</v>
      </c>
      <c r="D195" s="2" t="s">
        <v>1650</v>
      </c>
      <c r="E195" s="2"/>
    </row>
    <row r="196" customFormat="false" ht="64.9" hidden="false" customHeight="false" outlineLevel="0" collapsed="false">
      <c r="A196" s="2" t="s">
        <v>721</v>
      </c>
      <c r="B196" s="2" t="s">
        <v>1651</v>
      </c>
      <c r="C196" s="2" t="s">
        <v>1313</v>
      </c>
      <c r="D196" s="2" t="s">
        <v>1652</v>
      </c>
      <c r="E196" s="2"/>
    </row>
    <row r="197" customFormat="false" ht="64.9" hidden="false" customHeight="false" outlineLevel="0" collapsed="false">
      <c r="A197" s="2" t="s">
        <v>721</v>
      </c>
      <c r="B197" s="2" t="s">
        <v>1653</v>
      </c>
      <c r="C197" s="2" t="s">
        <v>1313</v>
      </c>
      <c r="D197" s="2" t="s">
        <v>1654</v>
      </c>
      <c r="E197" s="2"/>
    </row>
    <row r="198" customFormat="false" ht="39.55" hidden="false" customHeight="false" outlineLevel="0" collapsed="false">
      <c r="A198" s="2" t="s">
        <v>721</v>
      </c>
      <c r="B198" s="2" t="s">
        <v>1655</v>
      </c>
      <c r="C198" s="2" t="s">
        <v>1313</v>
      </c>
      <c r="D198" s="2" t="s">
        <v>1656</v>
      </c>
      <c r="E198" s="2" t="s">
        <v>722</v>
      </c>
    </row>
    <row r="199" customFormat="false" ht="26.85" hidden="false" customHeight="false" outlineLevel="0" collapsed="false">
      <c r="A199" s="2" t="s">
        <v>721</v>
      </c>
      <c r="B199" s="2" t="s">
        <v>1317</v>
      </c>
      <c r="C199" s="2" t="s">
        <v>1657</v>
      </c>
      <c r="D199" s="2" t="s">
        <v>1658</v>
      </c>
      <c r="E199" s="2" t="s">
        <v>722</v>
      </c>
    </row>
    <row r="200" customFormat="false" ht="39.55" hidden="false" customHeight="false" outlineLevel="0" collapsed="false">
      <c r="A200" s="2" t="s">
        <v>721</v>
      </c>
      <c r="B200" s="2" t="s">
        <v>490</v>
      </c>
      <c r="C200" s="2" t="s">
        <v>1657</v>
      </c>
      <c r="D200" s="2" t="s">
        <v>1659</v>
      </c>
      <c r="E200" s="2" t="s">
        <v>722</v>
      </c>
    </row>
    <row r="201" customFormat="false" ht="64.9" hidden="false" customHeight="false" outlineLevel="0" collapsed="false">
      <c r="A201" s="2" t="s">
        <v>721</v>
      </c>
      <c r="B201" s="2" t="s">
        <v>1320</v>
      </c>
      <c r="C201" s="2" t="s">
        <v>1660</v>
      </c>
      <c r="D201" s="2" t="s">
        <v>1661</v>
      </c>
      <c r="E201" s="2" t="s">
        <v>722</v>
      </c>
    </row>
    <row r="202" customFormat="false" ht="39.55" hidden="false" customHeight="false" outlineLevel="0" collapsed="false">
      <c r="A202" s="2" t="s">
        <v>721</v>
      </c>
      <c r="B202" s="2" t="s">
        <v>1564</v>
      </c>
      <c r="C202" s="2" t="s">
        <v>1660</v>
      </c>
      <c r="D202" s="2" t="s">
        <v>1662</v>
      </c>
      <c r="E202" s="2" t="s">
        <v>722</v>
      </c>
    </row>
    <row r="203" customFormat="false" ht="64.9" hidden="false" customHeight="false" outlineLevel="0" collapsed="false">
      <c r="A203" s="2" t="s">
        <v>721</v>
      </c>
      <c r="B203" s="2" t="s">
        <v>729</v>
      </c>
      <c r="C203" s="2" t="s">
        <v>1663</v>
      </c>
      <c r="D203" s="2" t="s">
        <v>1664</v>
      </c>
      <c r="E203" s="2" t="s">
        <v>722</v>
      </c>
    </row>
    <row r="204" customFormat="false" ht="52.2" hidden="false" customHeight="false" outlineLevel="0" collapsed="false">
      <c r="A204" s="2" t="s">
        <v>721</v>
      </c>
      <c r="B204" s="2" t="s">
        <v>669</v>
      </c>
      <c r="C204" s="2" t="s">
        <v>1663</v>
      </c>
      <c r="D204" s="2" t="s">
        <v>1665</v>
      </c>
      <c r="E204" s="2" t="s">
        <v>722</v>
      </c>
    </row>
    <row r="205" customFormat="false" ht="102.95" hidden="false" customHeight="false" outlineLevel="0" collapsed="false">
      <c r="A205" s="2" t="s">
        <v>721</v>
      </c>
      <c r="B205" s="2" t="s">
        <v>1666</v>
      </c>
      <c r="C205" s="2" t="s">
        <v>1663</v>
      </c>
      <c r="D205" s="2" t="s">
        <v>1667</v>
      </c>
      <c r="E205" s="2" t="s">
        <v>722</v>
      </c>
    </row>
    <row r="206" customFormat="false" ht="26.85" hidden="false" customHeight="false" outlineLevel="0" collapsed="false">
      <c r="A206" s="2" t="s">
        <v>721</v>
      </c>
      <c r="B206" s="2" t="s">
        <v>827</v>
      </c>
      <c r="C206" s="2" t="s">
        <v>1663</v>
      </c>
      <c r="D206" s="2" t="s">
        <v>1668</v>
      </c>
      <c r="E206" s="2" t="s">
        <v>722</v>
      </c>
    </row>
    <row r="207" customFormat="false" ht="64.9" hidden="false" customHeight="false" outlineLevel="0" collapsed="false">
      <c r="A207" s="2" t="s">
        <v>721</v>
      </c>
      <c r="B207" s="2" t="s">
        <v>1194</v>
      </c>
      <c r="C207" s="2" t="s">
        <v>1663</v>
      </c>
      <c r="D207" s="2" t="s">
        <v>1669</v>
      </c>
      <c r="E207" s="2" t="s">
        <v>1670</v>
      </c>
    </row>
    <row r="208" customFormat="false" ht="64.9" hidden="false" customHeight="false" outlineLevel="0" collapsed="false">
      <c r="A208" s="2" t="s">
        <v>721</v>
      </c>
      <c r="B208" s="2" t="s">
        <v>769</v>
      </c>
      <c r="C208" s="2" t="s">
        <v>1663</v>
      </c>
      <c r="D208" s="2" t="s">
        <v>1671</v>
      </c>
      <c r="E208" s="2" t="s">
        <v>722</v>
      </c>
    </row>
    <row r="209" customFormat="false" ht="52.2" hidden="false" customHeight="false" outlineLevel="0" collapsed="false">
      <c r="A209" s="2" t="s">
        <v>721</v>
      </c>
      <c r="B209" s="2" t="s">
        <v>812</v>
      </c>
      <c r="C209" s="2" t="s">
        <v>1672</v>
      </c>
      <c r="D209" s="2" t="s">
        <v>1673</v>
      </c>
      <c r="E209" s="2" t="s">
        <v>722</v>
      </c>
    </row>
    <row r="210" customFormat="false" ht="39.55" hidden="false" customHeight="false" outlineLevel="0" collapsed="false">
      <c r="A210" s="2" t="s">
        <v>721</v>
      </c>
      <c r="B210" s="2" t="s">
        <v>794</v>
      </c>
      <c r="C210" s="2" t="s">
        <v>1672</v>
      </c>
      <c r="D210" s="2" t="s">
        <v>1674</v>
      </c>
      <c r="E210" s="2" t="s">
        <v>722</v>
      </c>
    </row>
    <row r="211" customFormat="false" ht="52.2" hidden="false" customHeight="false" outlineLevel="0" collapsed="false">
      <c r="A211" s="2" t="s">
        <v>721</v>
      </c>
      <c r="B211" s="2" t="s">
        <v>753</v>
      </c>
      <c r="C211" s="2" t="s">
        <v>1672</v>
      </c>
      <c r="D211" s="2" t="s">
        <v>1675</v>
      </c>
      <c r="E211" s="2" t="s">
        <v>722</v>
      </c>
    </row>
    <row r="212" customFormat="false" ht="52.2" hidden="false" customHeight="false" outlineLevel="0" collapsed="false">
      <c r="A212" s="2" t="s">
        <v>721</v>
      </c>
      <c r="B212" s="2" t="s">
        <v>884</v>
      </c>
      <c r="C212" s="2" t="s">
        <v>1672</v>
      </c>
      <c r="D212" s="2" t="s">
        <v>1676</v>
      </c>
      <c r="E212" s="2" t="s">
        <v>722</v>
      </c>
    </row>
    <row r="213" customFormat="false" ht="39.55" hidden="false" customHeight="false" outlineLevel="0" collapsed="false">
      <c r="A213" s="2" t="s">
        <v>721</v>
      </c>
      <c r="B213" s="2" t="s">
        <v>835</v>
      </c>
      <c r="C213" s="2" t="s">
        <v>1672</v>
      </c>
      <c r="D213" s="2" t="s">
        <v>1677</v>
      </c>
      <c r="E213" s="2" t="s">
        <v>722</v>
      </c>
    </row>
    <row r="214" customFormat="false" ht="64.9" hidden="false" customHeight="false" outlineLevel="0" collapsed="false">
      <c r="A214" s="2" t="s">
        <v>721</v>
      </c>
      <c r="B214" s="2" t="s">
        <v>1129</v>
      </c>
      <c r="C214" s="2" t="s">
        <v>1672</v>
      </c>
      <c r="D214" s="2" t="s">
        <v>1678</v>
      </c>
      <c r="E214" s="2" t="s">
        <v>722</v>
      </c>
    </row>
    <row r="215" customFormat="false" ht="102.95" hidden="false" customHeight="false" outlineLevel="0" collapsed="false">
      <c r="A215" s="2" t="s">
        <v>721</v>
      </c>
      <c r="B215" s="2" t="s">
        <v>736</v>
      </c>
      <c r="C215" s="2" t="s">
        <v>1672</v>
      </c>
      <c r="D215" s="2" t="s">
        <v>1679</v>
      </c>
      <c r="E215" s="2" t="s">
        <v>722</v>
      </c>
    </row>
    <row r="216" customFormat="false" ht="64.9" hidden="false" customHeight="false" outlineLevel="0" collapsed="false">
      <c r="A216" s="2" t="s">
        <v>721</v>
      </c>
      <c r="B216" s="2" t="s">
        <v>1520</v>
      </c>
      <c r="C216" s="2" t="s">
        <v>1680</v>
      </c>
      <c r="D216" s="2" t="s">
        <v>1681</v>
      </c>
      <c r="E216" s="2"/>
    </row>
    <row r="217" customFormat="false" ht="64.9" hidden="false" customHeight="false" outlineLevel="0" collapsed="false">
      <c r="A217" s="2" t="s">
        <v>721</v>
      </c>
      <c r="B217" s="2" t="s">
        <v>697</v>
      </c>
      <c r="C217" s="2" t="s">
        <v>1680</v>
      </c>
      <c r="D217" s="2" t="s">
        <v>1682</v>
      </c>
      <c r="E217" s="2"/>
    </row>
    <row r="218" customFormat="false" ht="64.9" hidden="false" customHeight="false" outlineLevel="0" collapsed="false">
      <c r="A218" s="2" t="s">
        <v>721</v>
      </c>
      <c r="B218" s="2" t="s">
        <v>1683</v>
      </c>
      <c r="C218" s="2" t="s">
        <v>1680</v>
      </c>
      <c r="D218" s="2" t="s">
        <v>1684</v>
      </c>
      <c r="E218" s="2" t="s">
        <v>722</v>
      </c>
    </row>
    <row r="219" customFormat="false" ht="166.4" hidden="false" customHeight="false" outlineLevel="0" collapsed="false">
      <c r="A219" s="2" t="s">
        <v>721</v>
      </c>
      <c r="B219" s="2" t="s">
        <v>1685</v>
      </c>
      <c r="C219" s="2" t="s">
        <v>1680</v>
      </c>
      <c r="D219" s="2" t="s">
        <v>1686</v>
      </c>
      <c r="E219" s="2" t="s">
        <v>722</v>
      </c>
    </row>
    <row r="220" customFormat="false" ht="77.6" hidden="false" customHeight="false" outlineLevel="0" collapsed="false">
      <c r="A220" s="2" t="s">
        <v>721</v>
      </c>
      <c r="B220" s="2" t="s">
        <v>1687</v>
      </c>
      <c r="C220" s="2" t="s">
        <v>1680</v>
      </c>
      <c r="D220" s="2" t="s">
        <v>1688</v>
      </c>
      <c r="E220" s="2" t="s">
        <v>722</v>
      </c>
    </row>
    <row r="221" customFormat="false" ht="77.6" hidden="false" customHeight="false" outlineLevel="0" collapsed="false">
      <c r="A221" s="2" t="s">
        <v>721</v>
      </c>
      <c r="B221" s="2" t="s">
        <v>1689</v>
      </c>
      <c r="C221" s="2" t="s">
        <v>1680</v>
      </c>
      <c r="D221" s="2" t="s">
        <v>1690</v>
      </c>
      <c r="E221" s="2" t="s">
        <v>722</v>
      </c>
    </row>
    <row r="222" customFormat="false" ht="90.25" hidden="false" customHeight="false" outlineLevel="0" collapsed="false">
      <c r="A222" s="2" t="s">
        <v>721</v>
      </c>
      <c r="B222" s="2" t="s">
        <v>1691</v>
      </c>
      <c r="C222" s="2" t="s">
        <v>1680</v>
      </c>
      <c r="D222" s="2" t="s">
        <v>1692</v>
      </c>
      <c r="E222" s="2" t="s">
        <v>722</v>
      </c>
    </row>
    <row r="223" customFormat="false" ht="102.95" hidden="false" customHeight="false" outlineLevel="0" collapsed="false">
      <c r="A223" s="2" t="s">
        <v>721</v>
      </c>
      <c r="B223" s="2" t="s">
        <v>1693</v>
      </c>
      <c r="C223" s="2" t="s">
        <v>1680</v>
      </c>
      <c r="D223" s="2" t="s">
        <v>1694</v>
      </c>
      <c r="E223" s="2" t="s">
        <v>722</v>
      </c>
    </row>
    <row r="224" customFormat="false" ht="64.9" hidden="false" customHeight="false" outlineLevel="0" collapsed="false">
      <c r="A224" s="2" t="s">
        <v>721</v>
      </c>
      <c r="B224" s="2" t="s">
        <v>675</v>
      </c>
      <c r="C224" s="2" t="s">
        <v>1695</v>
      </c>
      <c r="D224" s="2" t="s">
        <v>1696</v>
      </c>
      <c r="E224" s="2"/>
    </row>
    <row r="225" customFormat="false" ht="52.2" hidden="false" customHeight="false" outlineLevel="0" collapsed="false">
      <c r="A225" s="2" t="s">
        <v>721</v>
      </c>
      <c r="B225" s="2" t="s">
        <v>1329</v>
      </c>
      <c r="C225" s="2" t="s">
        <v>1695</v>
      </c>
      <c r="D225" s="2" t="s">
        <v>1697</v>
      </c>
      <c r="E225" s="2"/>
    </row>
    <row r="226" customFormat="false" ht="141" hidden="false" customHeight="false" outlineLevel="0" collapsed="false">
      <c r="A226" s="2" t="s">
        <v>721</v>
      </c>
      <c r="B226" s="2" t="s">
        <v>1698</v>
      </c>
      <c r="C226" s="2" t="s">
        <v>1695</v>
      </c>
      <c r="D226" s="2" t="s">
        <v>1699</v>
      </c>
      <c r="E226" s="2" t="s">
        <v>722</v>
      </c>
    </row>
    <row r="227" customFormat="false" ht="64.9" hidden="false" customHeight="false" outlineLevel="0" collapsed="false">
      <c r="A227" s="2" t="s">
        <v>721</v>
      </c>
      <c r="B227" s="2" t="s">
        <v>80</v>
      </c>
      <c r="C227" s="2" t="s">
        <v>1700</v>
      </c>
      <c r="D227" s="2" t="s">
        <v>1701</v>
      </c>
      <c r="E227" s="2" t="s">
        <v>722</v>
      </c>
    </row>
    <row r="228" customFormat="false" ht="64.9" hidden="false" customHeight="false" outlineLevel="0" collapsed="false">
      <c r="A228" s="2" t="s">
        <v>721</v>
      </c>
      <c r="B228" s="2" t="s">
        <v>1332</v>
      </c>
      <c r="C228" s="2" t="s">
        <v>1700</v>
      </c>
      <c r="D228" s="2" t="s">
        <v>1702</v>
      </c>
      <c r="E228" s="2"/>
    </row>
    <row r="229" customFormat="false" ht="52.2" hidden="false" customHeight="false" outlineLevel="0" collapsed="false">
      <c r="A229" s="2" t="s">
        <v>721</v>
      </c>
      <c r="B229" s="2" t="s">
        <v>153</v>
      </c>
      <c r="C229" s="2" t="s">
        <v>1703</v>
      </c>
      <c r="D229" s="2" t="s">
        <v>1704</v>
      </c>
      <c r="E229" s="2"/>
    </row>
    <row r="230" customFormat="false" ht="52.2" hidden="false" customHeight="false" outlineLevel="0" collapsed="false">
      <c r="A230" s="2" t="s">
        <v>721</v>
      </c>
      <c r="B230" s="2" t="s">
        <v>90</v>
      </c>
      <c r="C230" s="2" t="s">
        <v>1703</v>
      </c>
      <c r="D230" s="2" t="s">
        <v>1705</v>
      </c>
      <c r="E230" s="2"/>
    </row>
    <row r="231" customFormat="false" ht="102.95" hidden="false" customHeight="false" outlineLevel="0" collapsed="false">
      <c r="A231" s="2" t="s">
        <v>721</v>
      </c>
      <c r="B231" s="2" t="s">
        <v>157</v>
      </c>
      <c r="C231" s="2" t="s">
        <v>1703</v>
      </c>
      <c r="D231" s="2" t="s">
        <v>1706</v>
      </c>
      <c r="E231" s="2" t="s">
        <v>722</v>
      </c>
    </row>
    <row r="232" customFormat="false" ht="115.65" hidden="false" customHeight="false" outlineLevel="0" collapsed="false">
      <c r="A232" s="2" t="s">
        <v>721</v>
      </c>
      <c r="B232" s="2" t="s">
        <v>1707</v>
      </c>
      <c r="C232" s="2" t="s">
        <v>1703</v>
      </c>
      <c r="D232" s="2" t="s">
        <v>1708</v>
      </c>
      <c r="E232" s="2"/>
    </row>
    <row r="233" customFormat="false" ht="102.95" hidden="false" customHeight="false" outlineLevel="0" collapsed="false">
      <c r="A233" s="2" t="s">
        <v>721</v>
      </c>
      <c r="B233" s="2" t="s">
        <v>1709</v>
      </c>
      <c r="C233" s="2" t="s">
        <v>1703</v>
      </c>
      <c r="D233" s="2" t="s">
        <v>1710</v>
      </c>
      <c r="E233" s="2" t="s">
        <v>722</v>
      </c>
    </row>
    <row r="234" customFormat="false" ht="90.25" hidden="false" customHeight="false" outlineLevel="0" collapsed="false">
      <c r="A234" s="2" t="s">
        <v>721</v>
      </c>
      <c r="B234" s="2" t="s">
        <v>1711</v>
      </c>
      <c r="C234" s="2" t="s">
        <v>1703</v>
      </c>
      <c r="D234" s="2" t="s">
        <v>1712</v>
      </c>
      <c r="E234" s="2"/>
    </row>
    <row r="235" customFormat="false" ht="77.6" hidden="false" customHeight="false" outlineLevel="0" collapsed="false">
      <c r="A235" s="2" t="s">
        <v>721</v>
      </c>
      <c r="B235" s="2" t="s">
        <v>507</v>
      </c>
      <c r="C235" s="2" t="s">
        <v>1713</v>
      </c>
      <c r="D235" s="2" t="s">
        <v>1714</v>
      </c>
      <c r="E235" s="2" t="s">
        <v>722</v>
      </c>
    </row>
    <row r="236" customFormat="false" ht="39.55" hidden="false" customHeight="false" outlineLevel="0" collapsed="false">
      <c r="A236" s="2" t="s">
        <v>721</v>
      </c>
      <c r="B236" s="2" t="s">
        <v>503</v>
      </c>
      <c r="C236" s="2" t="s">
        <v>1713</v>
      </c>
      <c r="D236" s="2" t="s">
        <v>1715</v>
      </c>
      <c r="E236" s="2"/>
    </row>
    <row r="237" customFormat="false" ht="64.9" hidden="false" customHeight="false" outlineLevel="0" collapsed="false">
      <c r="A237" s="2" t="s">
        <v>721</v>
      </c>
      <c r="B237" s="2" t="s">
        <v>1592</v>
      </c>
      <c r="C237" s="2" t="s">
        <v>1716</v>
      </c>
      <c r="D237" s="2" t="s">
        <v>1717</v>
      </c>
      <c r="E237" s="2" t="s">
        <v>1670</v>
      </c>
    </row>
    <row r="238" customFormat="false" ht="15" hidden="false" customHeight="false" outlineLevel="0" collapsed="false">
      <c r="A238" s="2" t="s">
        <v>721</v>
      </c>
      <c r="B238" s="2" t="s">
        <v>1351</v>
      </c>
      <c r="C238" s="2" t="s">
        <v>1718</v>
      </c>
      <c r="D238" s="2" t="s">
        <v>1719</v>
      </c>
      <c r="E238" s="2"/>
    </row>
    <row r="239" customFormat="false" ht="52.2" hidden="false" customHeight="false" outlineLevel="0" collapsed="false">
      <c r="A239" s="2" t="s">
        <v>721</v>
      </c>
      <c r="B239" s="2" t="s">
        <v>1364</v>
      </c>
      <c r="C239" s="2" t="s">
        <v>1521</v>
      </c>
      <c r="D239" s="2" t="s">
        <v>1720</v>
      </c>
      <c r="E239" s="2"/>
    </row>
    <row r="240" customFormat="false" ht="26.85" hidden="false" customHeight="false" outlineLevel="0" collapsed="false">
      <c r="A240" s="2" t="s">
        <v>721</v>
      </c>
      <c r="B240" s="2" t="s">
        <v>1386</v>
      </c>
      <c r="C240" s="2" t="s">
        <v>1721</v>
      </c>
      <c r="D240" s="2" t="s">
        <v>1722</v>
      </c>
      <c r="E240" s="2"/>
    </row>
    <row r="241" customFormat="false" ht="15" hidden="false" customHeight="false" outlineLevel="0" collapsed="false">
      <c r="A241" s="2" t="s">
        <v>721</v>
      </c>
      <c r="B241" s="2" t="s">
        <v>718</v>
      </c>
      <c r="C241" s="2" t="s">
        <v>1723</v>
      </c>
      <c r="D241" s="2" t="s">
        <v>1724</v>
      </c>
      <c r="E241" s="2"/>
    </row>
    <row r="242" customFormat="false" ht="15" hidden="false" customHeight="false" outlineLevel="0" collapsed="false">
      <c r="A242" s="2" t="s">
        <v>721</v>
      </c>
      <c r="B242" s="2" t="s">
        <v>1391</v>
      </c>
      <c r="C242" s="2" t="s">
        <v>1723</v>
      </c>
      <c r="D242" s="2" t="s">
        <v>1725</v>
      </c>
      <c r="E242" s="2" t="s">
        <v>722</v>
      </c>
    </row>
    <row r="243" customFormat="false" ht="17.15" hidden="false" customHeight="false" outlineLevel="0" collapsed="false">
      <c r="A243" s="2" t="s">
        <v>721</v>
      </c>
      <c r="B243" s="2" t="s">
        <v>1393</v>
      </c>
      <c r="C243" s="2" t="s">
        <v>1723</v>
      </c>
      <c r="D243" s="2" t="s">
        <v>1726</v>
      </c>
      <c r="E243" s="2" t="s">
        <v>722</v>
      </c>
    </row>
    <row r="244" customFormat="false" ht="15" hidden="false" customHeight="false" outlineLevel="0" collapsed="false">
      <c r="A244" s="2" t="s">
        <v>721</v>
      </c>
      <c r="B244" s="2" t="s">
        <v>1395</v>
      </c>
      <c r="C244" s="2" t="s">
        <v>1723</v>
      </c>
      <c r="D244" s="2" t="s">
        <v>1727</v>
      </c>
      <c r="E244" s="2" t="s">
        <v>722</v>
      </c>
    </row>
    <row r="245" customFormat="false" ht="15" hidden="false" customHeight="false" outlineLevel="0" collapsed="false">
      <c r="A245" s="2" t="s">
        <v>721</v>
      </c>
      <c r="B245" s="2" t="s">
        <v>1397</v>
      </c>
      <c r="C245" s="2" t="s">
        <v>1723</v>
      </c>
      <c r="D245" s="2" t="s">
        <v>1728</v>
      </c>
      <c r="E245" s="2" t="s">
        <v>722</v>
      </c>
    </row>
    <row r="246" customFormat="false" ht="15" hidden="false" customHeight="false" outlineLevel="0" collapsed="false">
      <c r="A246" s="2" t="s">
        <v>721</v>
      </c>
      <c r="B246" s="2" t="s">
        <v>1399</v>
      </c>
      <c r="C246" s="2" t="s">
        <v>1723</v>
      </c>
      <c r="D246" s="2" t="s">
        <v>1729</v>
      </c>
      <c r="E246" s="2" t="s">
        <v>722</v>
      </c>
    </row>
    <row r="247" customFormat="false" ht="15" hidden="false" customHeight="false" outlineLevel="0" collapsed="false">
      <c r="A247" s="2" t="s">
        <v>721</v>
      </c>
      <c r="B247" s="2" t="s">
        <v>1401</v>
      </c>
      <c r="C247" s="2" t="s">
        <v>1723</v>
      </c>
      <c r="D247" s="2" t="s">
        <v>1730</v>
      </c>
      <c r="E247" s="2" t="s">
        <v>722</v>
      </c>
    </row>
    <row r="248" customFormat="false" ht="15" hidden="false" customHeight="false" outlineLevel="0" collapsed="false">
      <c r="A248" s="2" t="s">
        <v>721</v>
      </c>
      <c r="B248" s="2" t="s">
        <v>1403</v>
      </c>
      <c r="C248" s="2" t="s">
        <v>1723</v>
      </c>
      <c r="D248" s="2" t="s">
        <v>1731</v>
      </c>
      <c r="E248" s="2" t="s">
        <v>722</v>
      </c>
    </row>
    <row r="249" customFormat="false" ht="15" hidden="false" customHeight="false" outlineLevel="0" collapsed="false">
      <c r="A249" s="2" t="s">
        <v>721</v>
      </c>
      <c r="B249" s="2" t="s">
        <v>1405</v>
      </c>
      <c r="C249" s="2" t="s">
        <v>1723</v>
      </c>
      <c r="D249" s="2" t="s">
        <v>1732</v>
      </c>
      <c r="E249" s="2" t="s">
        <v>722</v>
      </c>
    </row>
    <row r="250" customFormat="false" ht="15" hidden="false" customHeight="false" outlineLevel="0" collapsed="false">
      <c r="A250" s="2" t="s">
        <v>721</v>
      </c>
      <c r="B250" s="2" t="s">
        <v>1407</v>
      </c>
      <c r="C250" s="2" t="s">
        <v>1723</v>
      </c>
      <c r="D250" s="2" t="s">
        <v>1733</v>
      </c>
      <c r="E250" s="2" t="s">
        <v>722</v>
      </c>
    </row>
    <row r="251" customFormat="false" ht="15" hidden="false" customHeight="false" outlineLevel="0" collapsed="false">
      <c r="A251" s="2" t="s">
        <v>721</v>
      </c>
      <c r="B251" s="2" t="s">
        <v>1409</v>
      </c>
      <c r="C251" s="2" t="s">
        <v>1723</v>
      </c>
      <c r="D251" s="2" t="s">
        <v>1734</v>
      </c>
      <c r="E251" s="2" t="s">
        <v>722</v>
      </c>
    </row>
    <row r="252" customFormat="false" ht="15" hidden="false" customHeight="false" outlineLevel="0" collapsed="false">
      <c r="A252" s="2" t="s">
        <v>721</v>
      </c>
      <c r="B252" s="2" t="s">
        <v>1410</v>
      </c>
      <c r="C252" s="2" t="s">
        <v>1723</v>
      </c>
      <c r="D252" s="2" t="s">
        <v>1735</v>
      </c>
      <c r="E252" s="2" t="s">
        <v>722</v>
      </c>
    </row>
    <row r="253" customFormat="false" ht="15" hidden="false" customHeight="false" outlineLevel="0" collapsed="false">
      <c r="A253" s="2" t="s">
        <v>721</v>
      </c>
      <c r="B253" s="2" t="s">
        <v>1412</v>
      </c>
      <c r="C253" s="2" t="s">
        <v>1723</v>
      </c>
      <c r="D253" s="2" t="s">
        <v>1736</v>
      </c>
      <c r="E253" s="2" t="s">
        <v>722</v>
      </c>
    </row>
    <row r="254" customFormat="false" ht="15" hidden="false" customHeight="false" outlineLevel="0" collapsed="false">
      <c r="A254" s="2" t="s">
        <v>721</v>
      </c>
      <c r="B254" s="2" t="s">
        <v>1414</v>
      </c>
      <c r="C254" s="2" t="s">
        <v>1723</v>
      </c>
      <c r="D254" s="2" t="s">
        <v>1737</v>
      </c>
      <c r="E254" s="2" t="s">
        <v>722</v>
      </c>
    </row>
    <row r="255" customFormat="false" ht="15" hidden="false" customHeight="false" outlineLevel="0" collapsed="false">
      <c r="A255" s="2" t="s">
        <v>721</v>
      </c>
      <c r="B255" s="2" t="s">
        <v>1416</v>
      </c>
      <c r="C255" s="2" t="s">
        <v>1723</v>
      </c>
      <c r="D255" s="2" t="s">
        <v>1738</v>
      </c>
      <c r="E255" s="2" t="s">
        <v>722</v>
      </c>
    </row>
    <row r="256" customFormat="false" ht="15" hidden="false" customHeight="false" outlineLevel="0" collapsed="false">
      <c r="A256" s="2" t="s">
        <v>721</v>
      </c>
      <c r="B256" s="2" t="s">
        <v>1539</v>
      </c>
      <c r="C256" s="2" t="s">
        <v>1723</v>
      </c>
      <c r="D256" s="2" t="s">
        <v>1739</v>
      </c>
      <c r="E256" s="2" t="s">
        <v>722</v>
      </c>
    </row>
    <row r="257" customFormat="false" ht="15" hidden="false" customHeight="false" outlineLevel="0" collapsed="false">
      <c r="A257" s="2" t="s">
        <v>721</v>
      </c>
      <c r="B257" s="2" t="s">
        <v>1541</v>
      </c>
      <c r="C257" s="2" t="s">
        <v>1723</v>
      </c>
      <c r="D257" s="2" t="s">
        <v>1740</v>
      </c>
      <c r="E257" s="2" t="s">
        <v>722</v>
      </c>
    </row>
    <row r="258" customFormat="false" ht="15" hidden="false" customHeight="false" outlineLevel="0" collapsed="false">
      <c r="A258" s="2" t="s">
        <v>721</v>
      </c>
      <c r="B258" s="2" t="s">
        <v>1543</v>
      </c>
      <c r="C258" s="2" t="s">
        <v>1723</v>
      </c>
      <c r="D258" s="2" t="s">
        <v>1741</v>
      </c>
      <c r="E258" s="2" t="s">
        <v>722</v>
      </c>
    </row>
    <row r="259" customFormat="false" ht="15" hidden="false" customHeight="false" outlineLevel="0" collapsed="false">
      <c r="A259" s="2" t="s">
        <v>721</v>
      </c>
      <c r="B259" s="2" t="s">
        <v>1545</v>
      </c>
      <c r="C259" s="2" t="s">
        <v>1723</v>
      </c>
      <c r="D259" s="2" t="s">
        <v>1742</v>
      </c>
      <c r="E259" s="2" t="s">
        <v>722</v>
      </c>
    </row>
    <row r="260" customFormat="false" ht="17.15" hidden="false" customHeight="false" outlineLevel="0" collapsed="false">
      <c r="A260" s="2" t="s">
        <v>721</v>
      </c>
      <c r="B260" s="2" t="s">
        <v>1547</v>
      </c>
      <c r="C260" s="2" t="s">
        <v>1723</v>
      </c>
      <c r="D260" s="2" t="s">
        <v>1743</v>
      </c>
      <c r="E260" s="2" t="s">
        <v>722</v>
      </c>
    </row>
  </sheetData>
  <autoFilter ref="A1:E2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2026-09-15T08:43:51Z</dcterms:created>
  <dc:creator>openpyxl</dc:creator>
  <dc:description/>
  <dc:language>en-US</dc:language>
  <cp:lastModifiedBy/>
  <dcterms:modified xsi:type="dcterms:W3CDTF">2026-09-15T08:43:51Z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